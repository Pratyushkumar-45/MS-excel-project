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mc:AlternateContent xmlns:mc="http://schemas.openxmlformats.org/markup-compatibility/2006">
    <mc:Choice Requires="x15">
      <x15ac:absPath xmlns:x15ac="http://schemas.microsoft.com/office/spreadsheetml/2010/11/ac" url="C:\Users\manakaur\Desktop\Personal\Great Learning\EXL\May 2021\Week 1 - Excel\"/>
    </mc:Choice>
  </mc:AlternateContent>
  <xr:revisionPtr revIDLastSave="0" documentId="13_ncr:1_{8101CF5C-DE18-4052-A8D0-4AC8B5E0B5DF}" xr6:coauthVersionLast="45" xr6:coauthVersionMax="45" xr10:uidLastSave="{00000000-0000-0000-0000-000000000000}"/>
  <bookViews>
    <workbookView xWindow="-108" yWindow="-108" windowWidth="23256" windowHeight="12576" activeTab="2" xr2:uid="{00000000-000D-0000-FFFF-FFFF00000000}"/>
  </bookViews>
  <sheets>
    <sheet name="Data" sheetId="1" r:id="rId1"/>
    <sheet name="Summary" sheetId="2" r:id="rId2"/>
    <sheet name="Pivot Tables" sheetId="4" r:id="rId3"/>
    <sheet name="Record Macro" sheetId="5" r:id="rId4"/>
    <sheet name="VBA" sheetId="6" r:id="rId5"/>
  </sheets>
  <definedNames>
    <definedName name="_xlchart.v1.0" hidden="1">Data!$A$1</definedName>
    <definedName name="_xlchart.v1.1" hidden="1">Data!$A$2:$A$302</definedName>
    <definedName name="_xlchart.v1.2" hidden="1">Data!$A$2:$A$301</definedName>
    <definedName name="_xlchart.v1.3" hidden="1">Data!$C$2:$C$301</definedName>
    <definedName name="_xlchart.v1.4" hidden="1">Data!$A$2:$A$301</definedName>
    <definedName name="_xlchart.v1.5" hidden="1">Data!$A$2:$A$301</definedName>
    <definedName name="Slicer_anaemia">#N/A</definedName>
    <definedName name="Slicer_diabetes">#N/A</definedName>
    <definedName name="Slicer_high_blood_pressure">#N/A</definedName>
    <definedName name="Slicer_sex">#N/A</definedName>
    <definedName name="Slicer_smoking">#N/A</definedName>
  </definedNames>
  <calcPr calcId="191029"/>
  <pivotCaches>
    <pivotCache cacheId="60"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4" i="2" l="1"/>
  <c r="P10" i="2"/>
  <c r="O10" i="2"/>
  <c r="N10" i="2"/>
  <c r="M10" i="2"/>
  <c r="L10" i="2"/>
  <c r="K10" i="2"/>
  <c r="J10" i="2"/>
  <c r="I10" i="2"/>
  <c r="H10" i="2"/>
  <c r="G10" i="2"/>
  <c r="F10" i="2"/>
  <c r="E10" i="2"/>
  <c r="O9" i="2"/>
  <c r="O7" i="2"/>
  <c r="O6" i="2"/>
  <c r="O5" i="2"/>
  <c r="O4" i="2"/>
  <c r="O3" i="2"/>
  <c r="L9" i="2"/>
  <c r="L7" i="2"/>
  <c r="L6" i="2"/>
  <c r="L5" i="2"/>
  <c r="L4" i="2"/>
  <c r="L3" i="2"/>
  <c r="K9" i="2"/>
  <c r="K7" i="2"/>
  <c r="K6" i="2"/>
  <c r="K5" i="2"/>
  <c r="K4" i="2"/>
  <c r="K3" i="2"/>
  <c r="J9" i="2"/>
  <c r="J7" i="2"/>
  <c r="J6" i="2"/>
  <c r="J5" i="2"/>
  <c r="J4" i="2"/>
  <c r="J3" i="2"/>
  <c r="H9" i="2"/>
  <c r="H7" i="2"/>
  <c r="H6" i="2"/>
  <c r="H5" i="2"/>
  <c r="H4" i="2"/>
  <c r="H3" i="2"/>
  <c r="F9" i="2"/>
  <c r="F7" i="2"/>
  <c r="F6" i="2"/>
  <c r="F5" i="2"/>
  <c r="F4" i="2"/>
  <c r="F3" i="2"/>
  <c r="D10" i="2"/>
  <c r="D9" i="2"/>
  <c r="D3" i="2"/>
  <c r="D6" i="2"/>
  <c r="D4" i="2"/>
  <c r="D5" i="2"/>
  <c r="D7" i="2"/>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alcChain>
</file>

<file path=xl/sharedStrings.xml><?xml version="1.0" encoding="utf-8"?>
<sst xmlns="http://schemas.openxmlformats.org/spreadsheetml/2006/main" count="91" uniqueCount="49">
  <si>
    <t>age</t>
  </si>
  <si>
    <t>anaemia</t>
  </si>
  <si>
    <t>creatinine_phosphokinase</t>
  </si>
  <si>
    <t>diabetes</t>
  </si>
  <si>
    <t>ejection_fraction</t>
  </si>
  <si>
    <t>high_blood_pressure</t>
  </si>
  <si>
    <t>platelets</t>
  </si>
  <si>
    <t>serum_creatinine</t>
  </si>
  <si>
    <t>serum_sodium</t>
  </si>
  <si>
    <t>sex</t>
  </si>
  <si>
    <t>smoking</t>
  </si>
  <si>
    <t>time</t>
  </si>
  <si>
    <t>DEATH_EVENT</t>
  </si>
  <si>
    <t>Status</t>
  </si>
  <si>
    <t>Min</t>
  </si>
  <si>
    <t>Max</t>
  </si>
  <si>
    <t>25th per</t>
  </si>
  <si>
    <t>75th per</t>
  </si>
  <si>
    <t>Median (50)</t>
  </si>
  <si>
    <t>Five number Summary</t>
  </si>
  <si>
    <t>Mean</t>
  </si>
  <si>
    <t>Mode</t>
  </si>
  <si>
    <t>CPK</t>
  </si>
  <si>
    <t>Platelet</t>
  </si>
  <si>
    <t>Row Labels</t>
  </si>
  <si>
    <t>Grand Total</t>
  </si>
  <si>
    <t>Average of age</t>
  </si>
  <si>
    <t>Average of ejection_fraction</t>
  </si>
  <si>
    <t>Average of platelets</t>
  </si>
  <si>
    <t>Average of time</t>
  </si>
  <si>
    <t>Count of Status</t>
  </si>
  <si>
    <t>Green: Underline</t>
  </si>
  <si>
    <t>Red: Bold, Arial</t>
  </si>
  <si>
    <t>Yellow: Italic, Algerian</t>
  </si>
  <si>
    <t>Font Style Bold</t>
  </si>
  <si>
    <t>Font Style Arial</t>
  </si>
  <si>
    <t>BG Red</t>
  </si>
  <si>
    <t>BG Yellow</t>
  </si>
  <si>
    <t>Font Style Italic</t>
  </si>
  <si>
    <t>Font Style Algerian</t>
  </si>
  <si>
    <t>BG Green</t>
  </si>
  <si>
    <t>Font Style Underline</t>
  </si>
  <si>
    <t>Next Cell</t>
  </si>
  <si>
    <t>MS</t>
  </si>
  <si>
    <t>Excel</t>
  </si>
  <si>
    <t>Macro</t>
  </si>
  <si>
    <t>xlsx</t>
  </si>
  <si>
    <t>MS Excel VBA</t>
  </si>
  <si>
    <t>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</si>
</sst>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6" formatCode="0.0"/>
    <numFmt numFmtId="168" formatCode="_(* #,##0_);_(* \(#,##0\);_(* &quot;-&quot;??_);_(@_)"/>
  </numFmts>
  <fonts count="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i/>
      <sz val="11"/>
      <color theme="1"/>
      <name val="Algerian"/>
      <family val="5"/>
    </font>
    <font>
      <u/>
      <sz val="11"/>
      <color theme="1"/>
      <name val="Calibri"/>
      <family val="2"/>
      <scheme val="minor"/>
    </font>
    <font>
      <b/>
      <i/>
      <sz val="11"/>
      <color rgb="FFFF0000"/>
      <name val="Arial"/>
      <family val="2"/>
    </font>
  </fonts>
  <fills count="8">
    <fill>
      <patternFill patternType="none"/>
    </fill>
    <fill>
      <patternFill patternType="gray125"/>
    </fill>
    <fill>
      <patternFill patternType="solid">
        <fgColor theme="5"/>
        <bgColor theme="5"/>
      </patternFill>
    </fill>
    <fill>
      <patternFill patternType="solid">
        <fgColor theme="5"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theme="5" tint="0.39997558519241921"/>
      </left>
      <right/>
      <top style="thin">
        <color theme="5" tint="0.39997558519241921"/>
      </top>
      <bottom/>
      <diagonal/>
    </border>
    <border>
      <left/>
      <right/>
      <top style="thin">
        <color theme="5" tint="0.39997558519241921"/>
      </top>
      <bottom/>
      <diagonal/>
    </border>
  </borders>
  <cellStyleXfs count="2">
    <xf numFmtId="0" fontId="0" fillId="0" borderId="0"/>
    <xf numFmtId="43" fontId="1" fillId="0" borderId="0" applyFont="0" applyFill="0" applyBorder="0" applyAlignment="0" applyProtection="0"/>
  </cellStyleXfs>
  <cellXfs count="24">
    <xf numFmtId="0" fontId="0" fillId="0" borderId="0" xfId="0"/>
    <xf numFmtId="166" fontId="0" fillId="0" borderId="0" xfId="0" applyNumberFormat="1"/>
    <xf numFmtId="1" fontId="0" fillId="0" borderId="0" xfId="0" applyNumberFormat="1"/>
    <xf numFmtId="0" fontId="0" fillId="0" borderId="0" xfId="0" applyAlignment="1">
      <alignment wrapText="1"/>
    </xf>
    <xf numFmtId="0" fontId="0" fillId="0" borderId="0" xfId="0" applyAlignment="1">
      <alignment horizontal="center" vertical="center"/>
    </xf>
    <xf numFmtId="1" fontId="2" fillId="2" borderId="2" xfId="0" applyNumberFormat="1" applyFont="1" applyFill="1" applyBorder="1" applyAlignment="1">
      <alignment horizontal="center" vertical="center"/>
    </xf>
    <xf numFmtId="0" fontId="2" fillId="2" borderId="3" xfId="0" applyFont="1" applyFill="1" applyBorder="1" applyAlignment="1">
      <alignment horizontal="center" vertical="center"/>
    </xf>
    <xf numFmtId="1" fontId="2" fillId="2" borderId="3" xfId="0" applyNumberFormat="1" applyFont="1" applyFill="1" applyBorder="1" applyAlignment="1">
      <alignment horizontal="center" vertical="center"/>
    </xf>
    <xf numFmtId="166" fontId="2" fillId="2" borderId="3" xfId="0" applyNumberFormat="1" applyFont="1" applyFill="1" applyBorder="1" applyAlignment="1">
      <alignment horizontal="center" vertical="center"/>
    </xf>
    <xf numFmtId="1" fontId="0" fillId="0" borderId="1" xfId="0" applyNumberFormat="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3" fillId="0" borderId="1" xfId="0" applyFont="1" applyBorder="1"/>
    <xf numFmtId="0" fontId="0" fillId="0" borderId="1" xfId="0" applyBorder="1" applyAlignment="1">
      <alignment horizontal="left" vertical="center" wrapText="1"/>
    </xf>
    <xf numFmtId="168" fontId="0" fillId="0" borderId="0" xfId="1" applyNumberFormat="1" applyFont="1" applyAlignment="1">
      <alignment horizontal="center" vertical="center"/>
    </xf>
    <xf numFmtId="0" fontId="0" fillId="0" borderId="0" xfId="0" pivotButton="1"/>
    <xf numFmtId="0" fontId="0" fillId="0" borderId="0" xfId="0" applyAlignment="1">
      <alignment horizontal="left"/>
    </xf>
    <xf numFmtId="168" fontId="0" fillId="0" borderId="0" xfId="0" applyNumberFormat="1"/>
    <xf numFmtId="0" fontId="4" fillId="3" borderId="0" xfId="0" applyFont="1" applyFill="1"/>
    <xf numFmtId="0" fontId="5" fillId="4" borderId="0" xfId="0" applyFont="1" applyFill="1"/>
    <xf numFmtId="0" fontId="6" fillId="5" borderId="0" xfId="0" applyFont="1" applyFill="1"/>
    <xf numFmtId="0" fontId="5" fillId="6" borderId="0" xfId="0" applyFont="1" applyFill="1"/>
    <xf numFmtId="0" fontId="6" fillId="7" borderId="0" xfId="0" applyFont="1" applyFill="1"/>
    <xf numFmtId="0" fontId="7" fillId="0" borderId="0" xfId="0" applyFont="1"/>
  </cellXfs>
  <cellStyles count="2">
    <cellStyle name="Comma" xfId="1" builtinId="3"/>
    <cellStyle name="Normal" xfId="0" builtinId="0"/>
  </cellStyles>
  <dxfs count="10">
    <dxf>
      <numFmt numFmtId="1" formatCode="0"/>
    </dxf>
    <dxf>
      <numFmt numFmtId="168" formatCode="_(* #,##0_);_(* \(#,##0\);_(* &quot;-&quot;??_);_(@_)"/>
    </dxf>
    <dxf>
      <numFmt numFmtId="0" formatCode="General"/>
    </dxf>
    <dxf>
      <numFmt numFmtId="1" formatCode="0"/>
    </dxf>
    <dxf>
      <numFmt numFmtId="1" formatCode="0"/>
    </dxf>
    <dxf>
      <numFmt numFmtId="166" formatCode="0.0"/>
    </dxf>
    <dxf>
      <numFmt numFmtId="1" formatCode="0"/>
    </dxf>
    <dxf>
      <numFmt numFmtId="1"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Boxplot of Age</cx:v>
        </cx:txData>
      </cx:tx>
      <cx:txPr>
        <a:bodyPr spcFirstLastPara="1" vertOverflow="ellipsis" horzOverflow="overflow" wrap="square" lIns="0" tIns="0" rIns="0" bIns="0" anchor="ctr" anchorCtr="1"/>
        <a:lstStyle/>
        <a:p>
          <a:pPr algn="ctr" rtl="0">
            <a:defRPr/>
          </a:pPr>
          <a:r>
            <a:rPr lang="en-US" sz="1400" b="1" i="0" u="sng" strike="noStrike" baseline="0">
              <a:solidFill>
                <a:sysClr val="windowText" lastClr="000000">
                  <a:lumMod val="65000"/>
                  <a:lumOff val="35000"/>
                </a:sysClr>
              </a:solidFill>
              <a:latin typeface="Calibri" panose="020F0502020204030204"/>
            </a:rPr>
            <a:t>Boxplot of Age</a:t>
          </a:r>
        </a:p>
      </cx:txPr>
    </cx:title>
    <cx:plotArea>
      <cx:plotAreaRegion>
        <cx:series layoutId="boxWhisker" uniqueId="{319199E8-3270-4D76-9645-69576D6A8160}">
          <cx:tx>
            <cx:txData>
              <cx:f>_xlchart.v1.0</cx:f>
              <cx:v>age</cx:v>
            </cx:txData>
          </cx:tx>
          <cx:dataId val="0"/>
          <cx:layoutPr>
            <cx:statistics quartileMethod="exclusive"/>
          </cx:layoutPr>
        </cx:series>
      </cx:plotAreaRegion>
      <cx:axis id="0" hidden="1">
        <cx:catScaling/>
        <cx:tickLabels/>
      </cx:axis>
      <cx:axis id="1">
        <cx:valScaling min="30"/>
        <cx:tickLabels/>
        <cx:txPr>
          <a:bodyPr spcFirstLastPara="1" vertOverflow="ellipsis" horzOverflow="overflow" wrap="square" lIns="0" tIns="0" rIns="0" bIns="0" anchor="ctr" anchorCtr="1"/>
          <a:lstStyle/>
          <a:p>
            <a:pPr algn="ctr" rtl="0">
              <a:defRPr b="1" i="0"/>
            </a:pPr>
            <a:endParaRPr lang="en-US" sz="900" b="1" i="0" u="none" strike="noStrike" baseline="0">
              <a:solidFill>
                <a:sysClr val="windowText" lastClr="000000">
                  <a:lumMod val="65000"/>
                  <a:lumOff val="35000"/>
                </a:sysClr>
              </a:solidFill>
              <a:latin typeface="Calibri" panose="020F0502020204030204"/>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Histogram of Age</cx:v>
        </cx:txData>
      </cx:tx>
      <cx:txPr>
        <a:bodyPr spcFirstLastPara="1" vertOverflow="ellipsis" horzOverflow="overflow" wrap="square" lIns="0" tIns="0" rIns="0" bIns="0" anchor="ctr" anchorCtr="1"/>
        <a:lstStyle/>
        <a:p>
          <a:pPr algn="ctr" rtl="0">
            <a:defRPr/>
          </a:pPr>
          <a:r>
            <a:rPr lang="en-US" sz="1400" b="1" i="0" u="sng" strike="noStrike" baseline="0">
              <a:solidFill>
                <a:sysClr val="windowText" lastClr="000000">
                  <a:lumMod val="65000"/>
                  <a:lumOff val="35000"/>
                </a:sysClr>
              </a:solidFill>
              <a:latin typeface="Calibri" panose="020F0502020204030204"/>
            </a:rPr>
            <a:t>Histogram of Age</a:t>
          </a:r>
        </a:p>
      </cx:txPr>
    </cx:title>
    <cx:plotArea>
      <cx:plotAreaRegion>
        <cx:series layoutId="clusteredColumn" uniqueId="{4D242137-0631-45C4-86A6-B0EBBA15E1E1}">
          <cx:dataId val="0"/>
          <cx:layoutPr>
            <cx:binning intervalClosed="r"/>
          </cx:layoutPr>
        </cx:series>
      </cx:plotAreaRegion>
      <cx:axis id="0">
        <cx:catScaling/>
        <cx:tickLabels/>
      </cx:axis>
      <cx:axis id="1">
        <cx:valScaling/>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Histogram of CPK</cx:v>
        </cx:txData>
      </cx:tx>
      <cx:txPr>
        <a:bodyPr spcFirstLastPara="1" vertOverflow="ellipsis" horzOverflow="overflow" wrap="square" lIns="0" tIns="0" rIns="0" bIns="0" anchor="ctr" anchorCtr="1"/>
        <a:lstStyle/>
        <a:p>
          <a:pPr algn="ctr" rtl="0">
            <a:defRPr/>
          </a:pPr>
          <a:r>
            <a:rPr lang="en-US" sz="1400" b="1" i="0" u="sng" strike="noStrike" baseline="0">
              <a:solidFill>
                <a:sysClr val="windowText" lastClr="000000">
                  <a:lumMod val="65000"/>
                  <a:lumOff val="35000"/>
                </a:sysClr>
              </a:solidFill>
              <a:latin typeface="Calibri" panose="020F0502020204030204"/>
            </a:rPr>
            <a:t>Histogram of CPK</a:t>
          </a:r>
        </a:p>
      </cx:txPr>
    </cx:title>
    <cx:plotArea>
      <cx:plotAreaRegion>
        <cx:series layoutId="clusteredColumn" uniqueId="{CDA3E28D-18A5-434D-A89B-D55C3461E398}">
          <cx:dataId val="0"/>
          <cx:layoutPr>
            <cx:binning intervalClosed="r"/>
          </cx:layoutPr>
        </cx:series>
      </cx:plotAreaRegion>
      <cx:axis id="0">
        <cx:catScaling/>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xdr:col>
      <xdr:colOff>594360</xdr:colOff>
      <xdr:row>11</xdr:row>
      <xdr:rowOff>133350</xdr:rowOff>
    </xdr:from>
    <xdr:to>
      <xdr:col>7</xdr:col>
      <xdr:colOff>670560</xdr:colOff>
      <xdr:row>26</xdr:row>
      <xdr:rowOff>133350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C11F5C02-99B8-4C95-B3D6-3391777D16C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03960" y="214503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1036320</xdr:colOff>
      <xdr:row>11</xdr:row>
      <xdr:rowOff>133350</xdr:rowOff>
    </xdr:from>
    <xdr:to>
      <xdr:col>13</xdr:col>
      <xdr:colOff>441960</xdr:colOff>
      <xdr:row>26</xdr:row>
      <xdr:rowOff>133350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F99988A3-358D-4C2B-B763-95D966FAF8E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141720" y="214503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12</xdr:row>
      <xdr:rowOff>0</xdr:rowOff>
    </xdr:from>
    <xdr:to>
      <xdr:col>22</xdr:col>
      <xdr:colOff>0</xdr:colOff>
      <xdr:row>27</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DFAC433-2AF8-481C-AE5F-1C258424909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155680" y="219456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7</xdr:row>
      <xdr:rowOff>7620</xdr:rowOff>
    </xdr:from>
    <xdr:to>
      <xdr:col>4</xdr:col>
      <xdr:colOff>0</xdr:colOff>
      <xdr:row>20</xdr:row>
      <xdr:rowOff>97155</xdr:rowOff>
    </xdr:to>
    <mc:AlternateContent xmlns:mc="http://schemas.openxmlformats.org/markup-compatibility/2006">
      <mc:Choice xmlns:a14="http://schemas.microsoft.com/office/drawing/2010/main" Requires="a14">
        <xdr:graphicFrame macro="">
          <xdr:nvGraphicFramePr>
            <xdr:cNvPr id="2" name="anaemia">
              <a:extLst>
                <a:ext uri="{FF2B5EF4-FFF2-40B4-BE49-F238E27FC236}">
                  <a16:creationId xmlns:a16="http://schemas.microsoft.com/office/drawing/2014/main" id="{9D54DD2A-C3BB-4B43-B561-3E3FFDE6BAA4}"/>
                </a:ext>
              </a:extLst>
            </xdr:cNvPr>
            <xdr:cNvGraphicFramePr/>
          </xdr:nvGraphicFramePr>
          <xdr:xfrm>
            <a:off x="0" y="0"/>
            <a:ext cx="0" cy="0"/>
          </xdr:xfrm>
          <a:graphic>
            <a:graphicData uri="http://schemas.microsoft.com/office/drawing/2010/slicer">
              <sle:slicer xmlns:sle="http://schemas.microsoft.com/office/drawing/2010/slicer" name="anaemia"/>
            </a:graphicData>
          </a:graphic>
        </xdr:graphicFrame>
      </mc:Choice>
      <mc:Fallback>
        <xdr:sp macro="" textlink="">
          <xdr:nvSpPr>
            <xdr:cNvPr id="0" name=""/>
            <xdr:cNvSpPr>
              <a:spLocks noTextEdit="1"/>
            </xdr:cNvSpPr>
          </xdr:nvSpPr>
          <xdr:spPr>
            <a:xfrm>
              <a:off x="1219200" y="12877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518160</xdr:colOff>
      <xdr:row>7</xdr:row>
      <xdr:rowOff>7620</xdr:rowOff>
    </xdr:from>
    <xdr:to>
      <xdr:col>5</xdr:col>
      <xdr:colOff>1409700</xdr:colOff>
      <xdr:row>20</xdr:row>
      <xdr:rowOff>97155</xdr:rowOff>
    </xdr:to>
    <mc:AlternateContent xmlns:mc="http://schemas.openxmlformats.org/markup-compatibility/2006">
      <mc:Choice xmlns:a14="http://schemas.microsoft.com/office/drawing/2010/main" Requires="a14">
        <xdr:graphicFrame macro="">
          <xdr:nvGraphicFramePr>
            <xdr:cNvPr id="3" name="diabetes">
              <a:extLst>
                <a:ext uri="{FF2B5EF4-FFF2-40B4-BE49-F238E27FC236}">
                  <a16:creationId xmlns:a16="http://schemas.microsoft.com/office/drawing/2014/main" id="{9B900EFC-FC84-47B0-A55C-E6D8C6D587B0}"/>
                </a:ext>
              </a:extLst>
            </xdr:cNvPr>
            <xdr:cNvGraphicFramePr/>
          </xdr:nvGraphicFramePr>
          <xdr:xfrm>
            <a:off x="0" y="0"/>
            <a:ext cx="0" cy="0"/>
          </xdr:xfrm>
          <a:graphic>
            <a:graphicData uri="http://schemas.microsoft.com/office/drawing/2010/slicer">
              <sle:slicer xmlns:sle="http://schemas.microsoft.com/office/drawing/2010/slicer" name="diabetes"/>
            </a:graphicData>
          </a:graphic>
        </xdr:graphicFrame>
      </mc:Choice>
      <mc:Fallback>
        <xdr:sp macro="" textlink="">
          <xdr:nvSpPr>
            <xdr:cNvPr id="0" name=""/>
            <xdr:cNvSpPr>
              <a:spLocks noTextEdit="1"/>
            </xdr:cNvSpPr>
          </xdr:nvSpPr>
          <xdr:spPr>
            <a:xfrm>
              <a:off x="3566160" y="12877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259080</xdr:colOff>
      <xdr:row>6</xdr:row>
      <xdr:rowOff>175260</xdr:rowOff>
    </xdr:from>
    <xdr:to>
      <xdr:col>7</xdr:col>
      <xdr:colOff>861060</xdr:colOff>
      <xdr:row>20</xdr:row>
      <xdr:rowOff>81915</xdr:rowOff>
    </xdr:to>
    <mc:AlternateContent xmlns:mc="http://schemas.openxmlformats.org/markup-compatibility/2006">
      <mc:Choice xmlns:a14="http://schemas.microsoft.com/office/drawing/2010/main" Requires="a14">
        <xdr:graphicFrame macro="">
          <xdr:nvGraphicFramePr>
            <xdr:cNvPr id="4" name="high_blood_pressure">
              <a:extLst>
                <a:ext uri="{FF2B5EF4-FFF2-40B4-BE49-F238E27FC236}">
                  <a16:creationId xmlns:a16="http://schemas.microsoft.com/office/drawing/2014/main" id="{1F9856EB-41AB-4859-85B5-A1553DB0FB0A}"/>
                </a:ext>
              </a:extLst>
            </xdr:cNvPr>
            <xdr:cNvGraphicFramePr/>
          </xdr:nvGraphicFramePr>
          <xdr:xfrm>
            <a:off x="0" y="0"/>
            <a:ext cx="0" cy="0"/>
          </xdr:xfrm>
          <a:graphic>
            <a:graphicData uri="http://schemas.microsoft.com/office/drawing/2010/slicer">
              <sle:slicer xmlns:sle="http://schemas.microsoft.com/office/drawing/2010/slicer" name="high_blood_pressure"/>
            </a:graphicData>
          </a:graphic>
        </xdr:graphicFrame>
      </mc:Choice>
      <mc:Fallback>
        <xdr:sp macro="" textlink="">
          <xdr:nvSpPr>
            <xdr:cNvPr id="0" name=""/>
            <xdr:cNvSpPr>
              <a:spLocks noTextEdit="1"/>
            </xdr:cNvSpPr>
          </xdr:nvSpPr>
          <xdr:spPr>
            <a:xfrm>
              <a:off x="5974080" y="12725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411480</xdr:colOff>
      <xdr:row>7</xdr:row>
      <xdr:rowOff>22860</xdr:rowOff>
    </xdr:from>
    <xdr:to>
      <xdr:col>11</xdr:col>
      <xdr:colOff>411480</xdr:colOff>
      <xdr:row>20</xdr:row>
      <xdr:rowOff>112395</xdr:rowOff>
    </xdr:to>
    <mc:AlternateContent xmlns:mc="http://schemas.openxmlformats.org/markup-compatibility/2006">
      <mc:Choice xmlns:a14="http://schemas.microsoft.com/office/drawing/2010/main" Requires="a14">
        <xdr:graphicFrame macro="">
          <xdr:nvGraphicFramePr>
            <xdr:cNvPr id="5" name="smoking">
              <a:extLst>
                <a:ext uri="{FF2B5EF4-FFF2-40B4-BE49-F238E27FC236}">
                  <a16:creationId xmlns:a16="http://schemas.microsoft.com/office/drawing/2014/main" id="{858B238C-D9B8-4534-AC21-2DE74EA6B8C9}"/>
                </a:ext>
              </a:extLst>
            </xdr:cNvPr>
            <xdr:cNvGraphicFramePr/>
          </xdr:nvGraphicFramePr>
          <xdr:xfrm>
            <a:off x="0" y="0"/>
            <a:ext cx="0" cy="0"/>
          </xdr:xfrm>
          <a:graphic>
            <a:graphicData uri="http://schemas.microsoft.com/office/drawing/2010/slicer">
              <sle:slicer xmlns:sle="http://schemas.microsoft.com/office/drawing/2010/slicer" name="smoking"/>
            </a:graphicData>
          </a:graphic>
        </xdr:graphicFrame>
      </mc:Choice>
      <mc:Fallback>
        <xdr:sp macro="" textlink="">
          <xdr:nvSpPr>
            <xdr:cNvPr id="0" name=""/>
            <xdr:cNvSpPr>
              <a:spLocks noTextEdit="1"/>
            </xdr:cNvSpPr>
          </xdr:nvSpPr>
          <xdr:spPr>
            <a:xfrm>
              <a:off x="8343900" y="13030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167640</xdr:colOff>
          <xdr:row>1</xdr:row>
          <xdr:rowOff>83820</xdr:rowOff>
        </xdr:from>
        <xdr:to>
          <xdr:col>12</xdr:col>
          <xdr:colOff>510540</xdr:colOff>
          <xdr:row>5</xdr:row>
          <xdr:rowOff>22860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All Slicers</a:t>
              </a:r>
            </a:p>
          </xdr:txBody>
        </xdr:sp>
        <xdr:clientData fPrintsWithSheet="0"/>
      </xdr:twoCellAnchor>
    </mc:Choice>
    <mc:Fallback/>
  </mc:AlternateContent>
  <xdr:twoCellAnchor editAs="oneCell">
    <xdr:from>
      <xdr:col>12</xdr:col>
      <xdr:colOff>45720</xdr:colOff>
      <xdr:row>7</xdr:row>
      <xdr:rowOff>0</xdr:rowOff>
    </xdr:from>
    <xdr:to>
      <xdr:col>15</xdr:col>
      <xdr:colOff>45720</xdr:colOff>
      <xdr:row>20</xdr:row>
      <xdr:rowOff>89535</xdr:rowOff>
    </xdr:to>
    <mc:AlternateContent xmlns:mc="http://schemas.openxmlformats.org/markup-compatibility/2006">
      <mc:Choice xmlns:a14="http://schemas.microsoft.com/office/drawing/2010/main" Requires="a14">
        <xdr:graphicFrame macro="">
          <xdr:nvGraphicFramePr>
            <xdr:cNvPr id="6" name="sex">
              <a:extLst>
                <a:ext uri="{FF2B5EF4-FFF2-40B4-BE49-F238E27FC236}">
                  <a16:creationId xmlns:a16="http://schemas.microsoft.com/office/drawing/2014/main" id="{029251E4-C539-4D04-9907-92DF8073B5DA}"/>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10416540" y="12801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ur,Manaspreet" refreshedDate="44345.541913541667" createdVersion="6" refreshedVersion="6" minRefreshableVersion="3" recordCount="300" xr:uid="{5D732E86-FB39-4191-80AE-2B7BE9AE76AC}">
  <cacheSource type="worksheet">
    <worksheetSource name="Table1"/>
  </cacheSource>
  <cacheFields count="14">
    <cacheField name="age" numFmtId="1">
      <sharedItems containsSemiMixedTypes="0" containsString="0" containsNumber="1" minValue="40" maxValue="95"/>
    </cacheField>
    <cacheField name="anaemia" numFmtId="0">
      <sharedItems containsSemiMixedTypes="0" containsString="0" containsNumber="1" containsInteger="1" minValue="0" maxValue="1" count="2">
        <n v="0"/>
        <n v="1"/>
      </sharedItems>
    </cacheField>
    <cacheField name="creatinine_phosphokinase" numFmtId="1">
      <sharedItems containsSemiMixedTypes="0" containsString="0" containsNumber="1" containsInteger="1" minValue="23" maxValue="7861"/>
    </cacheField>
    <cacheField name="diabetes" numFmtId="0">
      <sharedItems containsSemiMixedTypes="0" containsString="0" containsNumber="1" containsInteger="1" minValue="0" maxValue="1" count="2">
        <n v="1"/>
        <n v="0"/>
      </sharedItems>
    </cacheField>
    <cacheField name="ejection_fraction" numFmtId="1">
      <sharedItems containsSemiMixedTypes="0" containsString="0" containsNumber="1" containsInteger="1" minValue="14" maxValue="80"/>
    </cacheField>
    <cacheField name="high_blood_pressure" numFmtId="0">
      <sharedItems containsSemiMixedTypes="0" containsString="0" containsNumber="1" containsInteger="1" minValue="0" maxValue="1" count="2">
        <n v="0"/>
        <n v="1"/>
      </sharedItems>
    </cacheField>
    <cacheField name="platelets" numFmtId="1">
      <sharedItems containsSemiMixedTypes="0" containsString="0" containsNumber="1" minValue="25100" maxValue="850000"/>
    </cacheField>
    <cacheField name="serum_creatinine" numFmtId="166">
      <sharedItems containsSemiMixedTypes="0" containsString="0" containsNumber="1" minValue="0.5" maxValue="9.4"/>
    </cacheField>
    <cacheField name="serum_sodium" numFmtId="1">
      <sharedItems containsSemiMixedTypes="0" containsString="0" containsNumber="1" containsInteger="1" minValue="113" maxValue="148"/>
    </cacheField>
    <cacheField name="sex" numFmtId="0">
      <sharedItems containsSemiMixedTypes="0" containsString="0" containsNumber="1" containsInteger="1" minValue="0" maxValue="1" count="2">
        <n v="1"/>
        <n v="0"/>
      </sharedItems>
    </cacheField>
    <cacheField name="smoking" numFmtId="0">
      <sharedItems containsSemiMixedTypes="0" containsString="0" containsNumber="1" containsInteger="1" minValue="0" maxValue="1" count="2">
        <n v="0"/>
        <n v="1"/>
      </sharedItems>
    </cacheField>
    <cacheField name="time" numFmtId="1">
      <sharedItems containsSemiMixedTypes="0" containsString="0" containsNumber="1" containsInteger="1" minValue="4" maxValue="285"/>
    </cacheField>
    <cacheField name="DEATH_EVENT" numFmtId="0">
      <sharedItems containsSemiMixedTypes="0" containsString="0" containsNumber="1" containsInteger="1" minValue="0" maxValue="1" count="2">
        <n v="0"/>
        <n v="1"/>
      </sharedItems>
    </cacheField>
    <cacheField name="Status" numFmtId="0">
      <sharedItems/>
    </cacheField>
  </cacheFields>
  <extLst>
    <ext xmlns:x14="http://schemas.microsoft.com/office/spreadsheetml/2009/9/main" uri="{725AE2AE-9491-48be-B2B4-4EB974FC3084}">
      <x14:pivotCacheDefinition pivotCacheId="9279977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n v="40"/>
    <x v="0"/>
    <n v="478"/>
    <x v="0"/>
    <n v="30"/>
    <x v="0"/>
    <n v="303000"/>
    <n v="0.9"/>
    <n v="136"/>
    <x v="0"/>
    <x v="0"/>
    <n v="148"/>
    <x v="0"/>
    <s v="Normal"/>
  </r>
  <r>
    <n v="40"/>
    <x v="0"/>
    <n v="244"/>
    <x v="1"/>
    <n v="45"/>
    <x v="1"/>
    <n v="275000"/>
    <n v="0.9"/>
    <n v="140"/>
    <x v="1"/>
    <x v="0"/>
    <n v="174"/>
    <x v="0"/>
    <s v="Normal"/>
  </r>
  <r>
    <n v="40"/>
    <x v="1"/>
    <n v="101"/>
    <x v="1"/>
    <n v="40"/>
    <x v="0"/>
    <n v="226000"/>
    <n v="0.8"/>
    <n v="141"/>
    <x v="1"/>
    <x v="0"/>
    <n v="187"/>
    <x v="0"/>
    <s v="Normal"/>
  </r>
  <r>
    <n v="40"/>
    <x v="1"/>
    <n v="129"/>
    <x v="1"/>
    <n v="35"/>
    <x v="0"/>
    <n v="255000"/>
    <n v="0.9"/>
    <n v="137"/>
    <x v="0"/>
    <x v="0"/>
    <n v="209"/>
    <x v="0"/>
    <s v="Normal"/>
  </r>
  <r>
    <n v="40"/>
    <x v="0"/>
    <n v="90"/>
    <x v="1"/>
    <n v="35"/>
    <x v="0"/>
    <n v="255000"/>
    <n v="1.1000000000000001"/>
    <n v="136"/>
    <x v="0"/>
    <x v="1"/>
    <n v="212"/>
    <x v="0"/>
    <s v="Normal"/>
  </r>
  <r>
    <n v="40"/>
    <x v="0"/>
    <n v="624"/>
    <x v="1"/>
    <n v="35"/>
    <x v="0"/>
    <n v="301000"/>
    <n v="1"/>
    <n v="142"/>
    <x v="0"/>
    <x v="1"/>
    <n v="214"/>
    <x v="0"/>
    <s v="Normal"/>
  </r>
  <r>
    <n v="40"/>
    <x v="0"/>
    <n v="582"/>
    <x v="0"/>
    <n v="35"/>
    <x v="0"/>
    <n v="222000"/>
    <n v="1"/>
    <n v="132"/>
    <x v="0"/>
    <x v="0"/>
    <n v="244"/>
    <x v="0"/>
    <s v="Normal"/>
  </r>
  <r>
    <n v="41"/>
    <x v="0"/>
    <n v="148"/>
    <x v="1"/>
    <n v="40"/>
    <x v="0"/>
    <n v="374000"/>
    <n v="0.8"/>
    <n v="140"/>
    <x v="0"/>
    <x v="1"/>
    <n v="68"/>
    <x v="0"/>
    <s v="Under Obs"/>
  </r>
  <r>
    <n v="42"/>
    <x v="1"/>
    <n v="250"/>
    <x v="0"/>
    <n v="15"/>
    <x v="0"/>
    <n v="213000"/>
    <n v="1.3"/>
    <n v="136"/>
    <x v="1"/>
    <x v="0"/>
    <n v="65"/>
    <x v="1"/>
    <s v="Under Obs"/>
  </r>
  <r>
    <n v="42"/>
    <x v="0"/>
    <n v="102"/>
    <x v="0"/>
    <n v="40"/>
    <x v="0"/>
    <n v="237000"/>
    <n v="1.2"/>
    <n v="140"/>
    <x v="0"/>
    <x v="0"/>
    <n v="74"/>
    <x v="0"/>
    <s v="Under Obs"/>
  </r>
  <r>
    <n v="42"/>
    <x v="0"/>
    <n v="582"/>
    <x v="1"/>
    <n v="60"/>
    <x v="0"/>
    <n v="263358.03000000003"/>
    <n v="1.18"/>
    <n v="137"/>
    <x v="1"/>
    <x v="0"/>
    <n v="82"/>
    <x v="0"/>
    <s v="Under Obs"/>
  </r>
  <r>
    <n v="42"/>
    <x v="0"/>
    <n v="5209"/>
    <x v="1"/>
    <n v="30"/>
    <x v="0"/>
    <n v="226000"/>
    <n v="1"/>
    <n v="140"/>
    <x v="0"/>
    <x v="1"/>
    <n v="87"/>
    <x v="0"/>
    <s v="Under Obs"/>
  </r>
  <r>
    <n v="42"/>
    <x v="1"/>
    <n v="86"/>
    <x v="1"/>
    <n v="35"/>
    <x v="0"/>
    <n v="365000"/>
    <n v="1.1000000000000001"/>
    <n v="139"/>
    <x v="0"/>
    <x v="1"/>
    <n v="201"/>
    <x v="0"/>
    <s v="Normal"/>
  </r>
  <r>
    <n v="42"/>
    <x v="0"/>
    <n v="64"/>
    <x v="1"/>
    <n v="40"/>
    <x v="0"/>
    <n v="189000"/>
    <n v="0.7"/>
    <n v="140"/>
    <x v="0"/>
    <x v="0"/>
    <n v="245"/>
    <x v="0"/>
    <s v="Normal"/>
  </r>
  <r>
    <n v="42"/>
    <x v="0"/>
    <n v="64"/>
    <x v="1"/>
    <n v="30"/>
    <x v="0"/>
    <n v="215000"/>
    <n v="3.8"/>
    <n v="128"/>
    <x v="0"/>
    <x v="1"/>
    <n v="250"/>
    <x v="0"/>
    <s v="Normal"/>
  </r>
  <r>
    <n v="43"/>
    <x v="1"/>
    <n v="358"/>
    <x v="1"/>
    <n v="50"/>
    <x v="0"/>
    <n v="237000"/>
    <n v="1.3"/>
    <n v="135"/>
    <x v="1"/>
    <x v="0"/>
    <n v="97"/>
    <x v="0"/>
    <s v="Under Obs"/>
  </r>
  <r>
    <n v="44"/>
    <x v="0"/>
    <n v="84"/>
    <x v="0"/>
    <n v="40"/>
    <x v="1"/>
    <n v="235000"/>
    <n v="0.7"/>
    <n v="139"/>
    <x v="0"/>
    <x v="0"/>
    <n v="79"/>
    <x v="0"/>
    <s v="Under Obs"/>
  </r>
  <r>
    <n v="44"/>
    <x v="0"/>
    <n v="582"/>
    <x v="0"/>
    <n v="30"/>
    <x v="1"/>
    <n v="263358.03000000003"/>
    <n v="1.6"/>
    <n v="130"/>
    <x v="0"/>
    <x v="1"/>
    <n v="244"/>
    <x v="0"/>
    <s v="Normal"/>
  </r>
  <r>
    <n v="45"/>
    <x v="1"/>
    <n v="981"/>
    <x v="1"/>
    <n v="30"/>
    <x v="0"/>
    <n v="136000"/>
    <n v="1.1000000000000001"/>
    <n v="137"/>
    <x v="0"/>
    <x v="0"/>
    <n v="11"/>
    <x v="1"/>
    <s v="Critical"/>
  </r>
  <r>
    <n v="45"/>
    <x v="0"/>
    <n v="582"/>
    <x v="1"/>
    <n v="14"/>
    <x v="0"/>
    <n v="166000"/>
    <n v="0.8"/>
    <n v="127"/>
    <x v="0"/>
    <x v="0"/>
    <n v="14"/>
    <x v="1"/>
    <s v="Critical"/>
  </r>
  <r>
    <n v="45"/>
    <x v="0"/>
    <n v="7702"/>
    <x v="0"/>
    <n v="25"/>
    <x v="1"/>
    <n v="390000"/>
    <n v="1"/>
    <n v="139"/>
    <x v="0"/>
    <x v="0"/>
    <n v="60"/>
    <x v="1"/>
    <s v="Under Obs"/>
  </r>
  <r>
    <n v="45"/>
    <x v="0"/>
    <n v="582"/>
    <x v="1"/>
    <n v="35"/>
    <x v="0"/>
    <n v="385000"/>
    <n v="1"/>
    <n v="145"/>
    <x v="0"/>
    <x v="0"/>
    <n v="61"/>
    <x v="1"/>
    <s v="Under Obs"/>
  </r>
  <r>
    <n v="45"/>
    <x v="0"/>
    <n v="582"/>
    <x v="1"/>
    <n v="80"/>
    <x v="0"/>
    <n v="263358.03000000003"/>
    <n v="1.18"/>
    <n v="137"/>
    <x v="1"/>
    <x v="0"/>
    <n v="63"/>
    <x v="0"/>
    <s v="Under Obs"/>
  </r>
  <r>
    <n v="45"/>
    <x v="1"/>
    <n v="1876"/>
    <x v="0"/>
    <n v="35"/>
    <x v="0"/>
    <n v="226000"/>
    <n v="0.9"/>
    <n v="138"/>
    <x v="0"/>
    <x v="0"/>
    <n v="88"/>
    <x v="0"/>
    <s v="Under Obs"/>
  </r>
  <r>
    <n v="45"/>
    <x v="0"/>
    <n v="292"/>
    <x v="0"/>
    <n v="35"/>
    <x v="0"/>
    <n v="850000"/>
    <n v="1.3"/>
    <n v="142"/>
    <x v="0"/>
    <x v="1"/>
    <n v="88"/>
    <x v="0"/>
    <s v="Under Obs"/>
  </r>
  <r>
    <n v="45"/>
    <x v="1"/>
    <n v="130"/>
    <x v="1"/>
    <n v="35"/>
    <x v="0"/>
    <n v="174000"/>
    <n v="0.8"/>
    <n v="139"/>
    <x v="0"/>
    <x v="1"/>
    <n v="121"/>
    <x v="0"/>
    <s v="Normal"/>
  </r>
  <r>
    <n v="45"/>
    <x v="0"/>
    <n v="2442"/>
    <x v="0"/>
    <n v="30"/>
    <x v="0"/>
    <n v="334000"/>
    <n v="1.1000000000000001"/>
    <n v="139"/>
    <x v="0"/>
    <x v="0"/>
    <n v="129"/>
    <x v="1"/>
    <s v="Normal"/>
  </r>
  <r>
    <n v="45"/>
    <x v="0"/>
    <n v="582"/>
    <x v="1"/>
    <n v="20"/>
    <x v="1"/>
    <n v="126000"/>
    <n v="1.6"/>
    <n v="135"/>
    <x v="0"/>
    <x v="0"/>
    <n v="180"/>
    <x v="1"/>
    <s v="Normal"/>
  </r>
  <r>
    <n v="45"/>
    <x v="0"/>
    <n v="582"/>
    <x v="0"/>
    <n v="38"/>
    <x v="1"/>
    <n v="263358.03000000003"/>
    <n v="1.18"/>
    <n v="137"/>
    <x v="1"/>
    <x v="0"/>
    <n v="185"/>
    <x v="0"/>
    <s v="Normal"/>
  </r>
  <r>
    <n v="45"/>
    <x v="0"/>
    <n v="308"/>
    <x v="0"/>
    <n v="60"/>
    <x v="1"/>
    <n v="377000"/>
    <n v="1"/>
    <n v="136"/>
    <x v="0"/>
    <x v="0"/>
    <n v="186"/>
    <x v="0"/>
    <s v="Normal"/>
  </r>
  <r>
    <n v="45"/>
    <x v="1"/>
    <n v="66"/>
    <x v="0"/>
    <n v="25"/>
    <x v="0"/>
    <n v="233000"/>
    <n v="0.8"/>
    <n v="135"/>
    <x v="0"/>
    <x v="0"/>
    <n v="230"/>
    <x v="0"/>
    <s v="Normal"/>
  </r>
  <r>
    <n v="45"/>
    <x v="0"/>
    <n v="582"/>
    <x v="0"/>
    <n v="38"/>
    <x v="0"/>
    <n v="302000"/>
    <n v="0.9"/>
    <n v="140"/>
    <x v="1"/>
    <x v="0"/>
    <n v="244"/>
    <x v="0"/>
    <s v="Normal"/>
  </r>
  <r>
    <n v="45"/>
    <x v="0"/>
    <n v="582"/>
    <x v="1"/>
    <n v="38"/>
    <x v="1"/>
    <n v="422000"/>
    <n v="0.8"/>
    <n v="137"/>
    <x v="1"/>
    <x v="0"/>
    <n v="245"/>
    <x v="0"/>
    <s v="Normal"/>
  </r>
  <r>
    <n v="45"/>
    <x v="0"/>
    <n v="582"/>
    <x v="0"/>
    <n v="55"/>
    <x v="0"/>
    <n v="543000"/>
    <n v="1"/>
    <n v="132"/>
    <x v="1"/>
    <x v="0"/>
    <n v="250"/>
    <x v="0"/>
    <s v="Normal"/>
  </r>
  <r>
    <n v="45"/>
    <x v="0"/>
    <n v="615"/>
    <x v="0"/>
    <n v="55"/>
    <x v="0"/>
    <n v="222000"/>
    <n v="0.8"/>
    <n v="141"/>
    <x v="1"/>
    <x v="0"/>
    <n v="257"/>
    <x v="0"/>
    <s v="Normal"/>
  </r>
  <r>
    <n v="45"/>
    <x v="0"/>
    <n v="2060"/>
    <x v="0"/>
    <n v="60"/>
    <x v="0"/>
    <n v="742000"/>
    <n v="0.8"/>
    <n v="138"/>
    <x v="1"/>
    <x v="0"/>
    <n v="278"/>
    <x v="0"/>
    <s v="Normal"/>
  </r>
  <r>
    <n v="45"/>
    <x v="0"/>
    <n v="2413"/>
    <x v="1"/>
    <n v="38"/>
    <x v="0"/>
    <n v="140000"/>
    <n v="1.4"/>
    <n v="140"/>
    <x v="0"/>
    <x v="1"/>
    <n v="280"/>
    <x v="0"/>
    <s v="Normal"/>
  </r>
  <r>
    <n v="46"/>
    <x v="0"/>
    <n v="168"/>
    <x v="0"/>
    <n v="17"/>
    <x v="1"/>
    <n v="271000"/>
    <n v="2.1"/>
    <n v="124"/>
    <x v="1"/>
    <x v="0"/>
    <n v="100"/>
    <x v="1"/>
    <s v="Under Obs"/>
  </r>
  <r>
    <n v="46"/>
    <x v="0"/>
    <n v="719"/>
    <x v="1"/>
    <n v="40"/>
    <x v="1"/>
    <n v="263358.03000000003"/>
    <n v="1.18"/>
    <n v="137"/>
    <x v="1"/>
    <x v="0"/>
    <n v="107"/>
    <x v="0"/>
    <s v="Under Obs"/>
  </r>
  <r>
    <n v="46"/>
    <x v="1"/>
    <n v="291"/>
    <x v="1"/>
    <n v="35"/>
    <x v="0"/>
    <n v="348000"/>
    <n v="0.9"/>
    <n v="140"/>
    <x v="1"/>
    <x v="0"/>
    <n v="109"/>
    <x v="0"/>
    <s v="Under Obs"/>
  </r>
  <r>
    <n v="47"/>
    <x v="0"/>
    <n v="582"/>
    <x v="1"/>
    <n v="25"/>
    <x v="0"/>
    <n v="130000"/>
    <n v="0.8"/>
    <n v="134"/>
    <x v="0"/>
    <x v="0"/>
    <n v="201"/>
    <x v="0"/>
    <s v="Normal"/>
  </r>
  <r>
    <n v="48"/>
    <x v="1"/>
    <n v="582"/>
    <x v="0"/>
    <n v="55"/>
    <x v="0"/>
    <n v="87000"/>
    <n v="1.9"/>
    <n v="121"/>
    <x v="1"/>
    <x v="0"/>
    <n v="15"/>
    <x v="1"/>
    <s v="Critical"/>
  </r>
  <r>
    <n v="48"/>
    <x v="1"/>
    <n v="131"/>
    <x v="0"/>
    <n v="30"/>
    <x v="1"/>
    <n v="244000"/>
    <n v="1.6"/>
    <n v="130"/>
    <x v="1"/>
    <x v="0"/>
    <n v="193"/>
    <x v="1"/>
    <s v="Normal"/>
  </r>
  <r>
    <n v="49"/>
    <x v="1"/>
    <n v="80"/>
    <x v="1"/>
    <n v="30"/>
    <x v="1"/>
    <n v="427000"/>
    <n v="1"/>
    <n v="138"/>
    <x v="1"/>
    <x v="0"/>
    <n v="12"/>
    <x v="0"/>
    <s v="Critical"/>
  </r>
  <r>
    <n v="49"/>
    <x v="0"/>
    <n v="789"/>
    <x v="1"/>
    <n v="20"/>
    <x v="1"/>
    <n v="319000"/>
    <n v="1.1000000000000001"/>
    <n v="136"/>
    <x v="0"/>
    <x v="1"/>
    <n v="55"/>
    <x v="1"/>
    <s v="Critical"/>
  </r>
  <r>
    <n v="49"/>
    <x v="1"/>
    <n v="69"/>
    <x v="1"/>
    <n v="50"/>
    <x v="0"/>
    <n v="132000"/>
    <n v="1"/>
    <n v="140"/>
    <x v="1"/>
    <x v="0"/>
    <n v="147"/>
    <x v="0"/>
    <s v="Normal"/>
  </r>
  <r>
    <n v="49"/>
    <x v="0"/>
    <n v="972"/>
    <x v="0"/>
    <n v="35"/>
    <x v="1"/>
    <n v="268000"/>
    <n v="0.8"/>
    <n v="130"/>
    <x v="1"/>
    <x v="0"/>
    <n v="187"/>
    <x v="0"/>
    <s v="Normal"/>
  </r>
  <r>
    <n v="50"/>
    <x v="1"/>
    <n v="111"/>
    <x v="1"/>
    <n v="20"/>
    <x v="0"/>
    <n v="210000"/>
    <n v="1.9"/>
    <n v="137"/>
    <x v="0"/>
    <x v="0"/>
    <n v="7"/>
    <x v="1"/>
    <s v="Critical"/>
  </r>
  <r>
    <n v="50"/>
    <x v="1"/>
    <n v="168"/>
    <x v="1"/>
    <n v="38"/>
    <x v="1"/>
    <n v="276000"/>
    <n v="1.1000000000000001"/>
    <n v="137"/>
    <x v="0"/>
    <x v="0"/>
    <n v="11"/>
    <x v="1"/>
    <s v="Critical"/>
  </r>
  <r>
    <n v="50"/>
    <x v="1"/>
    <n v="249"/>
    <x v="0"/>
    <n v="35"/>
    <x v="1"/>
    <n v="319000"/>
    <n v="1"/>
    <n v="128"/>
    <x v="1"/>
    <x v="0"/>
    <n v="28"/>
    <x v="1"/>
    <s v="Critical"/>
  </r>
  <r>
    <n v="50"/>
    <x v="1"/>
    <n v="159"/>
    <x v="0"/>
    <n v="30"/>
    <x v="0"/>
    <n v="302000"/>
    <n v="1.2"/>
    <n v="138"/>
    <x v="1"/>
    <x v="0"/>
    <n v="29"/>
    <x v="0"/>
    <s v="Critical"/>
  </r>
  <r>
    <n v="50"/>
    <x v="0"/>
    <n v="124"/>
    <x v="0"/>
    <n v="30"/>
    <x v="1"/>
    <n v="153000"/>
    <n v="1.2"/>
    <n v="136"/>
    <x v="1"/>
    <x v="1"/>
    <n v="32"/>
    <x v="1"/>
    <s v="Critical"/>
  </r>
  <r>
    <n v="50"/>
    <x v="0"/>
    <n v="582"/>
    <x v="0"/>
    <n v="38"/>
    <x v="0"/>
    <n v="310000"/>
    <n v="1.9"/>
    <n v="135"/>
    <x v="0"/>
    <x v="1"/>
    <n v="35"/>
    <x v="1"/>
    <s v="Critical"/>
  </r>
  <r>
    <n v="50"/>
    <x v="0"/>
    <n v="318"/>
    <x v="1"/>
    <n v="40"/>
    <x v="1"/>
    <n v="216000"/>
    <n v="2.2999999999999998"/>
    <n v="131"/>
    <x v="1"/>
    <x v="0"/>
    <n v="60"/>
    <x v="1"/>
    <s v="Under Obs"/>
  </r>
  <r>
    <n v="50"/>
    <x v="0"/>
    <n v="369"/>
    <x v="0"/>
    <n v="25"/>
    <x v="0"/>
    <n v="252000"/>
    <n v="1.6"/>
    <n v="136"/>
    <x v="0"/>
    <x v="0"/>
    <n v="90"/>
    <x v="0"/>
    <s v="Under Obs"/>
  </r>
  <r>
    <n v="50"/>
    <x v="0"/>
    <n v="1548"/>
    <x v="1"/>
    <n v="30"/>
    <x v="1"/>
    <n v="211000"/>
    <n v="0.8"/>
    <n v="138"/>
    <x v="0"/>
    <x v="0"/>
    <n v="108"/>
    <x v="0"/>
    <s v="Under Obs"/>
  </r>
  <r>
    <n v="50"/>
    <x v="0"/>
    <n v="482"/>
    <x v="0"/>
    <n v="30"/>
    <x v="0"/>
    <n v="329000"/>
    <n v="0.9"/>
    <n v="132"/>
    <x v="1"/>
    <x v="0"/>
    <n v="109"/>
    <x v="0"/>
    <s v="Under Obs"/>
  </r>
  <r>
    <n v="50"/>
    <x v="0"/>
    <n v="185"/>
    <x v="1"/>
    <n v="30"/>
    <x v="0"/>
    <n v="266000"/>
    <n v="0.7"/>
    <n v="141"/>
    <x v="0"/>
    <x v="1"/>
    <n v="112"/>
    <x v="0"/>
    <s v="Under Obs"/>
  </r>
  <r>
    <n v="50"/>
    <x v="0"/>
    <n v="115"/>
    <x v="1"/>
    <n v="45"/>
    <x v="1"/>
    <n v="184000"/>
    <n v="0.9"/>
    <n v="134"/>
    <x v="0"/>
    <x v="1"/>
    <n v="118"/>
    <x v="0"/>
    <s v="Under Obs"/>
  </r>
  <r>
    <n v="50"/>
    <x v="0"/>
    <n v="1846"/>
    <x v="0"/>
    <n v="35"/>
    <x v="0"/>
    <n v="263358.03000000003"/>
    <n v="1.18"/>
    <n v="137"/>
    <x v="0"/>
    <x v="1"/>
    <n v="119"/>
    <x v="0"/>
    <s v="Under Obs"/>
  </r>
  <r>
    <n v="50"/>
    <x v="0"/>
    <n v="250"/>
    <x v="1"/>
    <n v="25"/>
    <x v="0"/>
    <n v="262000"/>
    <n v="1"/>
    <n v="136"/>
    <x v="0"/>
    <x v="1"/>
    <n v="120"/>
    <x v="0"/>
    <s v="Normal"/>
  </r>
  <r>
    <n v="50"/>
    <x v="1"/>
    <n v="2334"/>
    <x v="0"/>
    <n v="35"/>
    <x v="0"/>
    <n v="75000"/>
    <n v="0.9"/>
    <n v="142"/>
    <x v="1"/>
    <x v="0"/>
    <n v="126"/>
    <x v="1"/>
    <s v="Normal"/>
  </r>
  <r>
    <n v="50"/>
    <x v="1"/>
    <n v="115"/>
    <x v="1"/>
    <n v="20"/>
    <x v="0"/>
    <n v="189000"/>
    <n v="0.8"/>
    <n v="139"/>
    <x v="0"/>
    <x v="0"/>
    <n v="146"/>
    <x v="0"/>
    <s v="Normal"/>
  </r>
  <r>
    <n v="50"/>
    <x v="0"/>
    <n v="582"/>
    <x v="1"/>
    <n v="50"/>
    <x v="0"/>
    <n v="153000"/>
    <n v="0.6"/>
    <n v="134"/>
    <x v="1"/>
    <x v="0"/>
    <n v="172"/>
    <x v="1"/>
    <s v="Normal"/>
  </r>
  <r>
    <n v="50"/>
    <x v="1"/>
    <n v="121"/>
    <x v="0"/>
    <n v="40"/>
    <x v="0"/>
    <n v="260000"/>
    <n v="0.7"/>
    <n v="130"/>
    <x v="0"/>
    <x v="0"/>
    <n v="175"/>
    <x v="0"/>
    <s v="Normal"/>
  </r>
  <r>
    <n v="50"/>
    <x v="1"/>
    <n v="582"/>
    <x v="0"/>
    <n v="20"/>
    <x v="1"/>
    <n v="279000"/>
    <n v="1"/>
    <n v="134"/>
    <x v="1"/>
    <x v="0"/>
    <n v="186"/>
    <x v="0"/>
    <s v="Normal"/>
  </r>
  <r>
    <n v="50"/>
    <x v="1"/>
    <n v="167"/>
    <x v="0"/>
    <n v="45"/>
    <x v="0"/>
    <n v="362000"/>
    <n v="1"/>
    <n v="136"/>
    <x v="1"/>
    <x v="0"/>
    <n v="187"/>
    <x v="0"/>
    <s v="Normal"/>
  </r>
  <r>
    <n v="50"/>
    <x v="0"/>
    <n v="582"/>
    <x v="1"/>
    <n v="62"/>
    <x v="1"/>
    <n v="147000"/>
    <n v="0.8"/>
    <n v="140"/>
    <x v="0"/>
    <x v="1"/>
    <n v="192"/>
    <x v="0"/>
    <s v="Normal"/>
  </r>
  <r>
    <n v="50"/>
    <x v="0"/>
    <n v="2522"/>
    <x v="1"/>
    <n v="30"/>
    <x v="1"/>
    <n v="404000"/>
    <n v="0.5"/>
    <n v="139"/>
    <x v="1"/>
    <x v="0"/>
    <n v="214"/>
    <x v="0"/>
    <s v="Normal"/>
  </r>
  <r>
    <n v="50"/>
    <x v="0"/>
    <n v="245"/>
    <x v="1"/>
    <n v="45"/>
    <x v="1"/>
    <n v="274000"/>
    <n v="1"/>
    <n v="133"/>
    <x v="0"/>
    <x v="0"/>
    <n v="215"/>
    <x v="0"/>
    <s v="Normal"/>
  </r>
  <r>
    <n v="50"/>
    <x v="1"/>
    <n v="298"/>
    <x v="1"/>
    <n v="35"/>
    <x v="0"/>
    <n v="362000"/>
    <n v="0.9"/>
    <n v="140"/>
    <x v="0"/>
    <x v="1"/>
    <n v="240"/>
    <x v="0"/>
    <s v="Normal"/>
  </r>
  <r>
    <n v="50"/>
    <x v="1"/>
    <n v="1051"/>
    <x v="0"/>
    <n v="30"/>
    <x v="0"/>
    <n v="232000"/>
    <n v="0.7"/>
    <n v="136"/>
    <x v="1"/>
    <x v="0"/>
    <n v="246"/>
    <x v="0"/>
    <s v="Normal"/>
  </r>
  <r>
    <n v="50"/>
    <x v="1"/>
    <n v="54"/>
    <x v="1"/>
    <n v="40"/>
    <x v="0"/>
    <n v="279000"/>
    <n v="0.8"/>
    <n v="141"/>
    <x v="0"/>
    <x v="0"/>
    <n v="250"/>
    <x v="0"/>
    <s v="Normal"/>
  </r>
  <r>
    <n v="50"/>
    <x v="0"/>
    <n v="196"/>
    <x v="1"/>
    <n v="45"/>
    <x v="0"/>
    <n v="395000"/>
    <n v="1.6"/>
    <n v="136"/>
    <x v="0"/>
    <x v="1"/>
    <n v="285"/>
    <x v="0"/>
    <s v="Normal"/>
  </r>
  <r>
    <n v="51"/>
    <x v="0"/>
    <n v="1380"/>
    <x v="1"/>
    <n v="25"/>
    <x v="1"/>
    <n v="271000"/>
    <n v="0.9"/>
    <n v="130"/>
    <x v="0"/>
    <x v="0"/>
    <n v="38"/>
    <x v="1"/>
    <s v="Critical"/>
  </r>
  <r>
    <n v="51"/>
    <x v="0"/>
    <n v="78"/>
    <x v="1"/>
    <n v="50"/>
    <x v="0"/>
    <n v="406000"/>
    <n v="0.7"/>
    <n v="140"/>
    <x v="0"/>
    <x v="0"/>
    <n v="79"/>
    <x v="0"/>
    <s v="Under Obs"/>
  </r>
  <r>
    <n v="51"/>
    <x v="1"/>
    <n v="582"/>
    <x v="0"/>
    <n v="35"/>
    <x v="0"/>
    <n v="263358.03000000003"/>
    <n v="1.5"/>
    <n v="136"/>
    <x v="0"/>
    <x v="1"/>
    <n v="145"/>
    <x v="0"/>
    <s v="Normal"/>
  </r>
  <r>
    <n v="51"/>
    <x v="0"/>
    <n v="582"/>
    <x v="0"/>
    <n v="40"/>
    <x v="0"/>
    <n v="221000"/>
    <n v="0.9"/>
    <n v="134"/>
    <x v="1"/>
    <x v="0"/>
    <n v="244"/>
    <x v="0"/>
    <s v="Normal"/>
  </r>
  <r>
    <n v="52"/>
    <x v="0"/>
    <n v="132"/>
    <x v="1"/>
    <n v="30"/>
    <x v="0"/>
    <n v="218000"/>
    <n v="0.7"/>
    <n v="136"/>
    <x v="0"/>
    <x v="1"/>
    <n v="112"/>
    <x v="0"/>
    <s v="Under Obs"/>
  </r>
  <r>
    <n v="52"/>
    <x v="1"/>
    <n v="58"/>
    <x v="1"/>
    <n v="35"/>
    <x v="0"/>
    <n v="277000"/>
    <n v="1.4"/>
    <n v="136"/>
    <x v="1"/>
    <x v="0"/>
    <n v="120"/>
    <x v="0"/>
    <s v="Normal"/>
  </r>
  <r>
    <n v="52"/>
    <x v="0"/>
    <n v="3966"/>
    <x v="1"/>
    <n v="40"/>
    <x v="0"/>
    <n v="325000"/>
    <n v="0.9"/>
    <n v="140"/>
    <x v="0"/>
    <x v="1"/>
    <n v="146"/>
    <x v="0"/>
    <s v="Normal"/>
  </r>
  <r>
    <n v="52"/>
    <x v="1"/>
    <n v="191"/>
    <x v="0"/>
    <n v="30"/>
    <x v="1"/>
    <n v="334000"/>
    <n v="1"/>
    <n v="142"/>
    <x v="0"/>
    <x v="1"/>
    <n v="216"/>
    <x v="0"/>
    <s v="Normal"/>
  </r>
  <r>
    <n v="52"/>
    <x v="0"/>
    <n v="190"/>
    <x v="0"/>
    <n v="38"/>
    <x v="0"/>
    <n v="382000"/>
    <n v="1"/>
    <n v="140"/>
    <x v="0"/>
    <x v="1"/>
    <n v="258"/>
    <x v="0"/>
    <s v="Normal"/>
  </r>
  <r>
    <n v="53"/>
    <x v="0"/>
    <n v="63"/>
    <x v="0"/>
    <n v="60"/>
    <x v="0"/>
    <n v="368000"/>
    <n v="0.8"/>
    <n v="135"/>
    <x v="0"/>
    <x v="0"/>
    <n v="22"/>
    <x v="0"/>
    <s v="Critical"/>
  </r>
  <r>
    <n v="53"/>
    <x v="1"/>
    <n v="91"/>
    <x v="1"/>
    <n v="20"/>
    <x v="1"/>
    <n v="418000"/>
    <n v="1.4"/>
    <n v="139"/>
    <x v="1"/>
    <x v="0"/>
    <n v="43"/>
    <x v="1"/>
    <s v="Critical"/>
  </r>
  <r>
    <n v="53"/>
    <x v="1"/>
    <n v="270"/>
    <x v="0"/>
    <n v="35"/>
    <x v="0"/>
    <n v="227000"/>
    <n v="3.4"/>
    <n v="145"/>
    <x v="0"/>
    <x v="0"/>
    <n v="105"/>
    <x v="0"/>
    <s v="Under Obs"/>
  </r>
  <r>
    <n v="53"/>
    <x v="1"/>
    <n v="1808"/>
    <x v="1"/>
    <n v="60"/>
    <x v="1"/>
    <n v="249000"/>
    <n v="0.7"/>
    <n v="138"/>
    <x v="0"/>
    <x v="1"/>
    <n v="106"/>
    <x v="0"/>
    <s v="Under Obs"/>
  </r>
  <r>
    <n v="53"/>
    <x v="0"/>
    <n v="196"/>
    <x v="1"/>
    <n v="60"/>
    <x v="0"/>
    <n v="220000"/>
    <n v="0.7"/>
    <n v="133"/>
    <x v="0"/>
    <x v="1"/>
    <n v="134"/>
    <x v="0"/>
    <s v="Normal"/>
  </r>
  <r>
    <n v="53"/>
    <x v="1"/>
    <n v="707"/>
    <x v="1"/>
    <n v="38"/>
    <x v="0"/>
    <n v="330000"/>
    <n v="1.4"/>
    <n v="137"/>
    <x v="0"/>
    <x v="1"/>
    <n v="209"/>
    <x v="0"/>
    <s v="Normal"/>
  </r>
  <r>
    <n v="53"/>
    <x v="1"/>
    <n v="582"/>
    <x v="1"/>
    <n v="45"/>
    <x v="0"/>
    <n v="305000"/>
    <n v="1.1000000000000001"/>
    <n v="137"/>
    <x v="0"/>
    <x v="1"/>
    <n v="209"/>
    <x v="0"/>
    <s v="Normal"/>
  </r>
  <r>
    <n v="53"/>
    <x v="0"/>
    <n v="207"/>
    <x v="0"/>
    <n v="40"/>
    <x v="0"/>
    <n v="223000"/>
    <n v="1.2"/>
    <n v="130"/>
    <x v="1"/>
    <x v="0"/>
    <n v="214"/>
    <x v="0"/>
    <s v="Normal"/>
  </r>
  <r>
    <n v="53"/>
    <x v="1"/>
    <n v="446"/>
    <x v="1"/>
    <n v="60"/>
    <x v="1"/>
    <n v="263358.03000000003"/>
    <n v="1"/>
    <n v="139"/>
    <x v="0"/>
    <x v="0"/>
    <n v="215"/>
    <x v="0"/>
    <s v="Normal"/>
  </r>
  <r>
    <n v="53"/>
    <x v="0"/>
    <n v="56"/>
    <x v="1"/>
    <n v="50"/>
    <x v="0"/>
    <n v="308000"/>
    <n v="0.7"/>
    <n v="135"/>
    <x v="0"/>
    <x v="1"/>
    <n v="231"/>
    <x v="0"/>
    <s v="Normal"/>
  </r>
  <r>
    <n v="54"/>
    <x v="1"/>
    <n v="427"/>
    <x v="1"/>
    <n v="70"/>
    <x v="1"/>
    <n v="151000"/>
    <n v="9"/>
    <n v="137"/>
    <x v="1"/>
    <x v="0"/>
    <n v="196"/>
    <x v="1"/>
    <s v="Normal"/>
  </r>
  <r>
    <n v="54"/>
    <x v="0"/>
    <n v="582"/>
    <x v="0"/>
    <n v="38"/>
    <x v="0"/>
    <n v="264000"/>
    <n v="1.8"/>
    <n v="134"/>
    <x v="0"/>
    <x v="0"/>
    <n v="213"/>
    <x v="0"/>
    <s v="Normal"/>
  </r>
  <r>
    <n v="55"/>
    <x v="0"/>
    <n v="7861"/>
    <x v="1"/>
    <n v="38"/>
    <x v="0"/>
    <n v="263358.03000000003"/>
    <n v="1.1000000000000001"/>
    <n v="136"/>
    <x v="0"/>
    <x v="0"/>
    <n v="6"/>
    <x v="1"/>
    <s v="Critical"/>
  </r>
  <r>
    <n v="55"/>
    <x v="0"/>
    <n v="109"/>
    <x v="1"/>
    <n v="35"/>
    <x v="0"/>
    <n v="254000"/>
    <n v="1.1000000000000001"/>
    <n v="139"/>
    <x v="0"/>
    <x v="1"/>
    <n v="60"/>
    <x v="0"/>
    <s v="Under Obs"/>
  </r>
  <r>
    <n v="55"/>
    <x v="0"/>
    <n v="336"/>
    <x v="1"/>
    <n v="45"/>
    <x v="1"/>
    <n v="324000"/>
    <n v="0.9"/>
    <n v="140"/>
    <x v="1"/>
    <x v="0"/>
    <n v="74"/>
    <x v="0"/>
    <s v="Under Obs"/>
  </r>
  <r>
    <n v="55"/>
    <x v="0"/>
    <n v="47"/>
    <x v="1"/>
    <n v="35"/>
    <x v="1"/>
    <n v="173000"/>
    <n v="1.1000000000000001"/>
    <n v="137"/>
    <x v="0"/>
    <x v="0"/>
    <n v="79"/>
    <x v="0"/>
    <s v="Under Obs"/>
  </r>
  <r>
    <n v="55"/>
    <x v="0"/>
    <n v="748"/>
    <x v="1"/>
    <n v="45"/>
    <x v="0"/>
    <n v="263000"/>
    <n v="1.3"/>
    <n v="137"/>
    <x v="0"/>
    <x v="0"/>
    <n v="88"/>
    <x v="0"/>
    <s v="Under Obs"/>
  </r>
  <r>
    <n v="55"/>
    <x v="0"/>
    <n v="60"/>
    <x v="1"/>
    <n v="35"/>
    <x v="0"/>
    <n v="228000"/>
    <n v="1.2"/>
    <n v="135"/>
    <x v="0"/>
    <x v="1"/>
    <n v="90"/>
    <x v="0"/>
    <s v="Under Obs"/>
  </r>
  <r>
    <n v="55"/>
    <x v="0"/>
    <n v="835"/>
    <x v="1"/>
    <n v="40"/>
    <x v="0"/>
    <n v="279000"/>
    <n v="0.7"/>
    <n v="140"/>
    <x v="0"/>
    <x v="1"/>
    <n v="147"/>
    <x v="0"/>
    <s v="Normal"/>
  </r>
  <r>
    <n v="55"/>
    <x v="0"/>
    <n v="582"/>
    <x v="0"/>
    <n v="35"/>
    <x v="1"/>
    <n v="371000"/>
    <n v="0.7"/>
    <n v="140"/>
    <x v="1"/>
    <x v="0"/>
    <n v="197"/>
    <x v="0"/>
    <s v="Normal"/>
  </r>
  <r>
    <n v="55"/>
    <x v="1"/>
    <n v="2794"/>
    <x v="1"/>
    <n v="35"/>
    <x v="1"/>
    <n v="141000"/>
    <n v="1"/>
    <n v="140"/>
    <x v="0"/>
    <x v="0"/>
    <n v="206"/>
    <x v="0"/>
    <s v="Normal"/>
  </r>
  <r>
    <n v="55"/>
    <x v="1"/>
    <n v="180"/>
    <x v="1"/>
    <n v="45"/>
    <x v="0"/>
    <n v="263358.03000000003"/>
    <n v="1.18"/>
    <n v="137"/>
    <x v="0"/>
    <x v="1"/>
    <n v="211"/>
    <x v="0"/>
    <s v="Normal"/>
  </r>
  <r>
    <n v="55"/>
    <x v="0"/>
    <n v="2017"/>
    <x v="1"/>
    <n v="25"/>
    <x v="0"/>
    <n v="314000"/>
    <n v="1.1000000000000001"/>
    <n v="138"/>
    <x v="0"/>
    <x v="0"/>
    <n v="214"/>
    <x v="1"/>
    <s v="Normal"/>
  </r>
  <r>
    <n v="55"/>
    <x v="0"/>
    <n v="572"/>
    <x v="0"/>
    <n v="35"/>
    <x v="0"/>
    <n v="231000"/>
    <n v="0.8"/>
    <n v="143"/>
    <x v="1"/>
    <x v="0"/>
    <n v="215"/>
    <x v="0"/>
    <s v="Normal"/>
  </r>
  <r>
    <n v="55"/>
    <x v="0"/>
    <n v="66"/>
    <x v="1"/>
    <n v="40"/>
    <x v="0"/>
    <n v="203000"/>
    <n v="1"/>
    <n v="138"/>
    <x v="0"/>
    <x v="0"/>
    <n v="233"/>
    <x v="0"/>
    <s v="Normal"/>
  </r>
  <r>
    <n v="55"/>
    <x v="0"/>
    <n v="1199"/>
    <x v="1"/>
    <n v="20"/>
    <x v="0"/>
    <n v="263358.03000000003"/>
    <n v="1.83"/>
    <n v="134"/>
    <x v="0"/>
    <x v="1"/>
    <n v="241"/>
    <x v="1"/>
    <s v="Normal"/>
  </r>
  <r>
    <n v="55"/>
    <x v="0"/>
    <n v="84"/>
    <x v="0"/>
    <n v="38"/>
    <x v="0"/>
    <n v="451000"/>
    <n v="1.3"/>
    <n v="136"/>
    <x v="1"/>
    <x v="0"/>
    <n v="246"/>
    <x v="0"/>
    <s v="Normal"/>
  </r>
  <r>
    <n v="55"/>
    <x v="1"/>
    <n v="170"/>
    <x v="0"/>
    <n v="40"/>
    <x v="0"/>
    <n v="336000"/>
    <n v="1.2"/>
    <n v="135"/>
    <x v="0"/>
    <x v="0"/>
    <n v="250"/>
    <x v="0"/>
    <s v="Normal"/>
  </r>
  <r>
    <n v="55"/>
    <x v="0"/>
    <n v="1820"/>
    <x v="1"/>
    <n v="38"/>
    <x v="0"/>
    <n v="270000"/>
    <n v="1.2"/>
    <n v="139"/>
    <x v="1"/>
    <x v="0"/>
    <n v="271"/>
    <x v="0"/>
    <s v="Normal"/>
  </r>
  <r>
    <n v="56"/>
    <x v="1"/>
    <n v="135"/>
    <x v="0"/>
    <n v="38"/>
    <x v="0"/>
    <n v="133000"/>
    <n v="1.7"/>
    <n v="140"/>
    <x v="0"/>
    <x v="0"/>
    <n v="244"/>
    <x v="0"/>
    <s v="Normal"/>
  </r>
  <r>
    <n v="57"/>
    <x v="1"/>
    <n v="129"/>
    <x v="1"/>
    <n v="30"/>
    <x v="0"/>
    <n v="395000"/>
    <n v="1"/>
    <n v="140"/>
    <x v="1"/>
    <x v="0"/>
    <n v="42"/>
    <x v="1"/>
    <s v="Critical"/>
  </r>
  <r>
    <n v="57"/>
    <x v="1"/>
    <n v="115"/>
    <x v="1"/>
    <n v="25"/>
    <x v="1"/>
    <n v="181000"/>
    <n v="1.1000000000000001"/>
    <n v="144"/>
    <x v="0"/>
    <x v="0"/>
    <n v="79"/>
    <x v="0"/>
    <s v="Under Obs"/>
  </r>
  <r>
    <n v="58"/>
    <x v="1"/>
    <n v="60"/>
    <x v="1"/>
    <n v="38"/>
    <x v="0"/>
    <n v="153000"/>
    <n v="5.8"/>
    <n v="134"/>
    <x v="0"/>
    <x v="0"/>
    <n v="26"/>
    <x v="1"/>
    <s v="Critical"/>
  </r>
  <r>
    <n v="58"/>
    <x v="0"/>
    <n v="582"/>
    <x v="0"/>
    <n v="35"/>
    <x v="0"/>
    <n v="122000"/>
    <n v="0.9"/>
    <n v="139"/>
    <x v="0"/>
    <x v="1"/>
    <n v="71"/>
    <x v="0"/>
    <s v="Under Obs"/>
  </r>
  <r>
    <n v="58"/>
    <x v="0"/>
    <n v="144"/>
    <x v="0"/>
    <n v="38"/>
    <x v="1"/>
    <n v="327000"/>
    <n v="0.7"/>
    <n v="142"/>
    <x v="1"/>
    <x v="0"/>
    <n v="83"/>
    <x v="0"/>
    <s v="Under Obs"/>
  </r>
  <r>
    <n v="58"/>
    <x v="1"/>
    <n v="133"/>
    <x v="1"/>
    <n v="60"/>
    <x v="1"/>
    <n v="219000"/>
    <n v="1"/>
    <n v="141"/>
    <x v="0"/>
    <x v="0"/>
    <n v="83"/>
    <x v="0"/>
    <s v="Under Obs"/>
  </r>
  <r>
    <n v="58"/>
    <x v="1"/>
    <n v="400"/>
    <x v="1"/>
    <n v="40"/>
    <x v="0"/>
    <n v="164000"/>
    <n v="1"/>
    <n v="139"/>
    <x v="1"/>
    <x v="0"/>
    <n v="91"/>
    <x v="0"/>
    <s v="Under Obs"/>
  </r>
  <r>
    <n v="58"/>
    <x v="1"/>
    <n v="200"/>
    <x v="0"/>
    <n v="60"/>
    <x v="0"/>
    <n v="300000"/>
    <n v="0.8"/>
    <n v="137"/>
    <x v="1"/>
    <x v="0"/>
    <n v="104"/>
    <x v="0"/>
    <s v="Under Obs"/>
  </r>
  <r>
    <n v="58"/>
    <x v="1"/>
    <n v="145"/>
    <x v="1"/>
    <n v="25"/>
    <x v="0"/>
    <n v="219000"/>
    <n v="1.2"/>
    <n v="137"/>
    <x v="0"/>
    <x v="1"/>
    <n v="170"/>
    <x v="1"/>
    <s v="Normal"/>
  </r>
  <r>
    <n v="58"/>
    <x v="0"/>
    <n v="582"/>
    <x v="0"/>
    <n v="25"/>
    <x v="0"/>
    <n v="504000"/>
    <n v="1"/>
    <n v="138"/>
    <x v="0"/>
    <x v="0"/>
    <n v="205"/>
    <x v="0"/>
    <s v="Normal"/>
  </r>
  <r>
    <n v="58"/>
    <x v="1"/>
    <n v="57"/>
    <x v="1"/>
    <n v="25"/>
    <x v="0"/>
    <n v="189000"/>
    <n v="1.3"/>
    <n v="132"/>
    <x v="0"/>
    <x v="1"/>
    <n v="205"/>
    <x v="0"/>
    <s v="Normal"/>
  </r>
  <r>
    <n v="58"/>
    <x v="0"/>
    <n v="132"/>
    <x v="0"/>
    <n v="38"/>
    <x v="1"/>
    <n v="253000"/>
    <n v="1"/>
    <n v="139"/>
    <x v="0"/>
    <x v="0"/>
    <n v="230"/>
    <x v="0"/>
    <s v="Normal"/>
  </r>
  <r>
    <n v="59"/>
    <x v="1"/>
    <n v="280"/>
    <x v="0"/>
    <n v="25"/>
    <x v="1"/>
    <n v="302000"/>
    <n v="1"/>
    <n v="141"/>
    <x v="1"/>
    <x v="0"/>
    <n v="78"/>
    <x v="1"/>
    <s v="Under Obs"/>
  </r>
  <r>
    <n v="59"/>
    <x v="1"/>
    <n v="129"/>
    <x v="1"/>
    <n v="45"/>
    <x v="1"/>
    <n v="362000"/>
    <n v="1.1000000000000001"/>
    <n v="139"/>
    <x v="0"/>
    <x v="1"/>
    <n v="121"/>
    <x v="0"/>
    <s v="Normal"/>
  </r>
  <r>
    <n v="59"/>
    <x v="0"/>
    <n v="66"/>
    <x v="0"/>
    <n v="20"/>
    <x v="0"/>
    <n v="70000"/>
    <n v="2.4"/>
    <n v="134"/>
    <x v="0"/>
    <x v="0"/>
    <n v="135"/>
    <x v="1"/>
    <s v="Normal"/>
  </r>
  <r>
    <n v="59"/>
    <x v="1"/>
    <n v="176"/>
    <x v="0"/>
    <n v="25"/>
    <x v="0"/>
    <n v="221000"/>
    <n v="1"/>
    <n v="136"/>
    <x v="0"/>
    <x v="1"/>
    <n v="150"/>
    <x v="1"/>
    <s v="Normal"/>
  </r>
  <r>
    <n v="60"/>
    <x v="1"/>
    <n v="315"/>
    <x v="0"/>
    <n v="60"/>
    <x v="0"/>
    <n v="454000"/>
    <n v="1.1000000000000001"/>
    <n v="131"/>
    <x v="0"/>
    <x v="1"/>
    <n v="10"/>
    <x v="1"/>
    <s v="Critical"/>
  </r>
  <r>
    <n v="60"/>
    <x v="0"/>
    <n v="2656"/>
    <x v="0"/>
    <n v="30"/>
    <x v="0"/>
    <n v="305000"/>
    <n v="2.2999999999999998"/>
    <n v="137"/>
    <x v="0"/>
    <x v="0"/>
    <n v="30"/>
    <x v="0"/>
    <s v="Critical"/>
  </r>
  <r>
    <n v="60"/>
    <x v="0"/>
    <n v="235"/>
    <x v="0"/>
    <n v="38"/>
    <x v="0"/>
    <n v="329000"/>
    <n v="3"/>
    <n v="142"/>
    <x v="1"/>
    <x v="0"/>
    <n v="30"/>
    <x v="1"/>
    <s v="Critical"/>
  </r>
  <r>
    <n v="60"/>
    <x v="1"/>
    <n v="588"/>
    <x v="0"/>
    <n v="60"/>
    <x v="0"/>
    <n v="194000"/>
    <n v="1.1000000000000001"/>
    <n v="142"/>
    <x v="1"/>
    <x v="0"/>
    <n v="33"/>
    <x v="1"/>
    <s v="Critical"/>
  </r>
  <r>
    <n v="60"/>
    <x v="0"/>
    <n v="582"/>
    <x v="0"/>
    <n v="38"/>
    <x v="1"/>
    <n v="451000"/>
    <n v="0.6"/>
    <n v="138"/>
    <x v="0"/>
    <x v="1"/>
    <n v="40"/>
    <x v="1"/>
    <s v="Critical"/>
  </r>
  <r>
    <n v="60"/>
    <x v="0"/>
    <n v="3964"/>
    <x v="0"/>
    <n v="62"/>
    <x v="0"/>
    <n v="263358.03000000003"/>
    <n v="6.8"/>
    <n v="146"/>
    <x v="1"/>
    <x v="0"/>
    <n v="43"/>
    <x v="1"/>
    <s v="Critical"/>
  </r>
  <r>
    <n v="60"/>
    <x v="1"/>
    <n v="260"/>
    <x v="0"/>
    <n v="38"/>
    <x v="0"/>
    <n v="255000"/>
    <n v="2.2000000000000002"/>
    <n v="132"/>
    <x v="1"/>
    <x v="1"/>
    <n v="45"/>
    <x v="1"/>
    <s v="Critical"/>
  </r>
  <r>
    <n v="60"/>
    <x v="1"/>
    <n v="607"/>
    <x v="1"/>
    <n v="40"/>
    <x v="0"/>
    <n v="216000"/>
    <n v="0.6"/>
    <n v="138"/>
    <x v="0"/>
    <x v="1"/>
    <n v="54"/>
    <x v="0"/>
    <s v="Critical"/>
  </r>
  <r>
    <n v="60"/>
    <x v="0"/>
    <n v="68"/>
    <x v="1"/>
    <n v="20"/>
    <x v="0"/>
    <n v="119000"/>
    <n v="2.9"/>
    <n v="127"/>
    <x v="0"/>
    <x v="1"/>
    <n v="64"/>
    <x v="1"/>
    <s v="Under Obs"/>
  </r>
  <r>
    <n v="60"/>
    <x v="1"/>
    <n v="47"/>
    <x v="1"/>
    <n v="20"/>
    <x v="0"/>
    <n v="204000"/>
    <n v="0.7"/>
    <n v="139"/>
    <x v="0"/>
    <x v="1"/>
    <n v="73"/>
    <x v="1"/>
    <s v="Under Obs"/>
  </r>
  <r>
    <n v="60"/>
    <x v="1"/>
    <n v="76"/>
    <x v="0"/>
    <n v="25"/>
    <x v="0"/>
    <n v="196000"/>
    <n v="2.5"/>
    <n v="132"/>
    <x v="1"/>
    <x v="0"/>
    <n v="77"/>
    <x v="1"/>
    <s v="Under Obs"/>
  </r>
  <r>
    <n v="60"/>
    <x v="0"/>
    <n v="897"/>
    <x v="0"/>
    <n v="45"/>
    <x v="0"/>
    <n v="297000"/>
    <n v="1"/>
    <n v="133"/>
    <x v="0"/>
    <x v="0"/>
    <n v="80"/>
    <x v="0"/>
    <s v="Under Obs"/>
  </r>
  <r>
    <n v="60"/>
    <x v="1"/>
    <n v="154"/>
    <x v="1"/>
    <n v="25"/>
    <x v="0"/>
    <n v="210000"/>
    <n v="1.7"/>
    <n v="135"/>
    <x v="0"/>
    <x v="0"/>
    <n v="82"/>
    <x v="1"/>
    <s v="Under Obs"/>
  </r>
  <r>
    <n v="60"/>
    <x v="1"/>
    <n v="156"/>
    <x v="0"/>
    <n v="25"/>
    <x v="1"/>
    <n v="318000"/>
    <n v="1.2"/>
    <n v="137"/>
    <x v="1"/>
    <x v="0"/>
    <n v="85"/>
    <x v="0"/>
    <s v="Under Obs"/>
  </r>
  <r>
    <n v="60"/>
    <x v="0"/>
    <n v="53"/>
    <x v="1"/>
    <n v="50"/>
    <x v="1"/>
    <n v="286000"/>
    <n v="2.2999999999999998"/>
    <n v="143"/>
    <x v="1"/>
    <x v="0"/>
    <n v="87"/>
    <x v="0"/>
    <s v="Under Obs"/>
  </r>
  <r>
    <n v="60"/>
    <x v="1"/>
    <n v="754"/>
    <x v="0"/>
    <n v="40"/>
    <x v="1"/>
    <n v="328000"/>
    <n v="1.2"/>
    <n v="126"/>
    <x v="0"/>
    <x v="0"/>
    <n v="91"/>
    <x v="0"/>
    <s v="Under Obs"/>
  </r>
  <r>
    <n v="60"/>
    <x v="1"/>
    <n v="96"/>
    <x v="0"/>
    <n v="60"/>
    <x v="1"/>
    <n v="271000"/>
    <n v="0.7"/>
    <n v="136"/>
    <x v="1"/>
    <x v="0"/>
    <n v="94"/>
    <x v="0"/>
    <s v="Under Obs"/>
  </r>
  <r>
    <n v="60"/>
    <x v="1"/>
    <n v="737"/>
    <x v="1"/>
    <n v="60"/>
    <x v="1"/>
    <n v="210000"/>
    <n v="1.5"/>
    <n v="135"/>
    <x v="0"/>
    <x v="1"/>
    <n v="95"/>
    <x v="0"/>
    <s v="Under Obs"/>
  </r>
  <r>
    <n v="60"/>
    <x v="0"/>
    <n v="96"/>
    <x v="0"/>
    <n v="38"/>
    <x v="0"/>
    <n v="228000"/>
    <n v="0.75"/>
    <n v="140"/>
    <x v="1"/>
    <x v="0"/>
    <n v="95"/>
    <x v="0"/>
    <s v="Under Obs"/>
  </r>
  <r>
    <n v="60"/>
    <x v="1"/>
    <n v="582"/>
    <x v="1"/>
    <n v="30"/>
    <x v="1"/>
    <n v="127000"/>
    <n v="0.9"/>
    <n v="145"/>
    <x v="1"/>
    <x v="0"/>
    <n v="95"/>
    <x v="0"/>
    <s v="Under Obs"/>
  </r>
  <r>
    <n v="60"/>
    <x v="0"/>
    <n v="582"/>
    <x v="1"/>
    <n v="40"/>
    <x v="0"/>
    <n v="217000"/>
    <n v="3.7"/>
    <n v="134"/>
    <x v="0"/>
    <x v="0"/>
    <n v="96"/>
    <x v="1"/>
    <s v="Under Obs"/>
  </r>
  <r>
    <n v="60"/>
    <x v="1"/>
    <n v="1082"/>
    <x v="0"/>
    <n v="45"/>
    <x v="0"/>
    <n v="250000"/>
    <n v="6.1"/>
    <n v="131"/>
    <x v="0"/>
    <x v="0"/>
    <n v="107"/>
    <x v="0"/>
    <s v="Under Obs"/>
  </r>
  <r>
    <n v="60"/>
    <x v="0"/>
    <n v="2261"/>
    <x v="1"/>
    <n v="35"/>
    <x v="1"/>
    <n v="228000"/>
    <n v="0.9"/>
    <n v="136"/>
    <x v="0"/>
    <x v="0"/>
    <n v="115"/>
    <x v="0"/>
    <s v="Under Obs"/>
  </r>
  <r>
    <n v="60"/>
    <x v="1"/>
    <n v="231"/>
    <x v="0"/>
    <n v="25"/>
    <x v="0"/>
    <n v="194000"/>
    <n v="1.7"/>
    <n v="140"/>
    <x v="0"/>
    <x v="0"/>
    <n v="120"/>
    <x v="0"/>
    <s v="Normal"/>
  </r>
  <r>
    <n v="60"/>
    <x v="1"/>
    <n v="95"/>
    <x v="1"/>
    <n v="60"/>
    <x v="0"/>
    <n v="337000"/>
    <n v="1"/>
    <n v="138"/>
    <x v="0"/>
    <x v="1"/>
    <n v="146"/>
    <x v="0"/>
    <s v="Normal"/>
  </r>
  <r>
    <n v="60"/>
    <x v="0"/>
    <n v="1896"/>
    <x v="0"/>
    <n v="25"/>
    <x v="0"/>
    <n v="365000"/>
    <n v="2.1"/>
    <n v="144"/>
    <x v="1"/>
    <x v="0"/>
    <n v="172"/>
    <x v="1"/>
    <s v="Normal"/>
  </r>
  <r>
    <n v="60"/>
    <x v="0"/>
    <n v="1211"/>
    <x v="0"/>
    <n v="35"/>
    <x v="0"/>
    <n v="263358.03000000003"/>
    <n v="1.8"/>
    <n v="113"/>
    <x v="0"/>
    <x v="1"/>
    <n v="186"/>
    <x v="0"/>
    <s v="Normal"/>
  </r>
  <r>
    <n v="60"/>
    <x v="0"/>
    <n v="59"/>
    <x v="1"/>
    <n v="25"/>
    <x v="1"/>
    <n v="212000"/>
    <n v="3.5"/>
    <n v="136"/>
    <x v="0"/>
    <x v="1"/>
    <n v="187"/>
    <x v="0"/>
    <s v="Normal"/>
  </r>
  <r>
    <n v="60"/>
    <x v="1"/>
    <n v="2281"/>
    <x v="0"/>
    <n v="40"/>
    <x v="0"/>
    <n v="283000"/>
    <n v="1"/>
    <n v="141"/>
    <x v="1"/>
    <x v="0"/>
    <n v="187"/>
    <x v="0"/>
    <s v="Normal"/>
  </r>
  <r>
    <n v="60"/>
    <x v="0"/>
    <n v="166"/>
    <x v="1"/>
    <n v="30"/>
    <x v="0"/>
    <n v="62000"/>
    <n v="1.7"/>
    <n v="127"/>
    <x v="1"/>
    <x v="0"/>
    <n v="207"/>
    <x v="1"/>
    <s v="Normal"/>
  </r>
  <r>
    <n v="60"/>
    <x v="1"/>
    <n v="257"/>
    <x v="0"/>
    <n v="30"/>
    <x v="0"/>
    <n v="150000"/>
    <n v="1"/>
    <n v="137"/>
    <x v="0"/>
    <x v="1"/>
    <n v="245"/>
    <x v="0"/>
    <s v="Normal"/>
  </r>
  <r>
    <n v="60"/>
    <x v="0"/>
    <n v="253"/>
    <x v="1"/>
    <n v="35"/>
    <x v="0"/>
    <n v="279000"/>
    <n v="1.7"/>
    <n v="140"/>
    <x v="0"/>
    <x v="0"/>
    <n v="250"/>
    <x v="0"/>
    <s v="Normal"/>
  </r>
  <r>
    <n v="60"/>
    <x v="0"/>
    <n v="320"/>
    <x v="1"/>
    <n v="35"/>
    <x v="0"/>
    <n v="133000"/>
    <n v="1.4"/>
    <n v="139"/>
    <x v="0"/>
    <x v="0"/>
    <n v="258"/>
    <x v="0"/>
    <s v="Normal"/>
  </r>
  <r>
    <n v="60"/>
    <x v="0"/>
    <n v="581"/>
    <x v="1"/>
    <n v="38"/>
    <x v="0"/>
    <n v="263358"/>
    <n v="1.4"/>
    <n v="137"/>
    <x v="0"/>
    <x v="0"/>
    <n v="130"/>
    <x v="0"/>
    <s v="Normal"/>
  </r>
  <r>
    <n v="60.667000000000002"/>
    <x v="1"/>
    <n v="104"/>
    <x v="0"/>
    <n v="30"/>
    <x v="0"/>
    <n v="389000"/>
    <n v="1.5"/>
    <n v="136"/>
    <x v="0"/>
    <x v="0"/>
    <n v="171"/>
    <x v="1"/>
    <s v="Normal"/>
  </r>
  <r>
    <n v="60.667000000000002"/>
    <x v="1"/>
    <n v="151"/>
    <x v="0"/>
    <n v="40"/>
    <x v="1"/>
    <n v="201000"/>
    <n v="1"/>
    <n v="136"/>
    <x v="1"/>
    <x v="0"/>
    <n v="172"/>
    <x v="0"/>
    <s v="Normal"/>
  </r>
  <r>
    <n v="61"/>
    <x v="0"/>
    <n v="248"/>
    <x v="1"/>
    <n v="30"/>
    <x v="1"/>
    <n v="267000"/>
    <n v="0.7"/>
    <n v="136"/>
    <x v="0"/>
    <x v="1"/>
    <n v="104"/>
    <x v="0"/>
    <s v="Under Obs"/>
  </r>
  <r>
    <n v="61"/>
    <x v="1"/>
    <n v="84"/>
    <x v="1"/>
    <n v="40"/>
    <x v="1"/>
    <n v="229000"/>
    <n v="0.9"/>
    <n v="141"/>
    <x v="1"/>
    <x v="0"/>
    <n v="110"/>
    <x v="0"/>
    <s v="Under Obs"/>
  </r>
  <r>
    <n v="61"/>
    <x v="1"/>
    <n v="80"/>
    <x v="0"/>
    <n v="38"/>
    <x v="0"/>
    <n v="282000"/>
    <n v="1.4"/>
    <n v="137"/>
    <x v="0"/>
    <x v="0"/>
    <n v="213"/>
    <x v="0"/>
    <s v="Normal"/>
  </r>
  <r>
    <n v="61"/>
    <x v="0"/>
    <n v="582"/>
    <x v="0"/>
    <n v="38"/>
    <x v="0"/>
    <n v="147000"/>
    <n v="1.2"/>
    <n v="141"/>
    <x v="0"/>
    <x v="0"/>
    <n v="237"/>
    <x v="0"/>
    <s v="Normal"/>
  </r>
  <r>
    <n v="62"/>
    <x v="0"/>
    <n v="231"/>
    <x v="1"/>
    <n v="25"/>
    <x v="1"/>
    <n v="253000"/>
    <n v="0.9"/>
    <n v="140"/>
    <x v="0"/>
    <x v="1"/>
    <n v="10"/>
    <x v="1"/>
    <s v="Critical"/>
  </r>
  <r>
    <n v="62"/>
    <x v="0"/>
    <n v="281"/>
    <x v="0"/>
    <n v="35"/>
    <x v="0"/>
    <n v="221000"/>
    <n v="1"/>
    <n v="136"/>
    <x v="1"/>
    <x v="0"/>
    <n v="108"/>
    <x v="0"/>
    <s v="Under Obs"/>
  </r>
  <r>
    <n v="62"/>
    <x v="0"/>
    <n v="30"/>
    <x v="0"/>
    <n v="60"/>
    <x v="1"/>
    <n v="244000"/>
    <n v="0.9"/>
    <n v="139"/>
    <x v="0"/>
    <x v="0"/>
    <n v="117"/>
    <x v="0"/>
    <s v="Under Obs"/>
  </r>
  <r>
    <n v="62"/>
    <x v="1"/>
    <n v="655"/>
    <x v="1"/>
    <n v="40"/>
    <x v="0"/>
    <n v="283000"/>
    <n v="0.7"/>
    <n v="133"/>
    <x v="1"/>
    <x v="0"/>
    <n v="233"/>
    <x v="0"/>
    <s v="Normal"/>
  </r>
  <r>
    <n v="62"/>
    <x v="0"/>
    <n v="61"/>
    <x v="0"/>
    <n v="38"/>
    <x v="1"/>
    <n v="155000"/>
    <n v="1.1000000000000001"/>
    <n v="143"/>
    <x v="0"/>
    <x v="1"/>
    <n v="270"/>
    <x v="0"/>
    <s v="Normal"/>
  </r>
  <r>
    <n v="63"/>
    <x v="1"/>
    <n v="514"/>
    <x v="0"/>
    <n v="25"/>
    <x v="1"/>
    <n v="254000"/>
    <n v="1.3"/>
    <n v="134"/>
    <x v="0"/>
    <x v="0"/>
    <n v="83"/>
    <x v="0"/>
    <s v="Under Obs"/>
  </r>
  <r>
    <n v="63"/>
    <x v="1"/>
    <n v="61"/>
    <x v="0"/>
    <n v="40"/>
    <x v="0"/>
    <n v="221000"/>
    <n v="1.1000000000000001"/>
    <n v="140"/>
    <x v="1"/>
    <x v="0"/>
    <n v="86"/>
    <x v="0"/>
    <s v="Under Obs"/>
  </r>
  <r>
    <n v="63"/>
    <x v="0"/>
    <n v="936"/>
    <x v="1"/>
    <n v="38"/>
    <x v="0"/>
    <n v="304000"/>
    <n v="1.1000000000000001"/>
    <n v="133"/>
    <x v="0"/>
    <x v="1"/>
    <n v="88"/>
    <x v="0"/>
    <s v="Under Obs"/>
  </r>
  <r>
    <n v="63"/>
    <x v="0"/>
    <n v="193"/>
    <x v="1"/>
    <n v="60"/>
    <x v="1"/>
    <n v="295000"/>
    <n v="1.3"/>
    <n v="145"/>
    <x v="0"/>
    <x v="1"/>
    <n v="107"/>
    <x v="0"/>
    <s v="Under Obs"/>
  </r>
  <r>
    <n v="63"/>
    <x v="1"/>
    <n v="582"/>
    <x v="1"/>
    <n v="40"/>
    <x v="0"/>
    <n v="448000"/>
    <n v="0.9"/>
    <n v="137"/>
    <x v="0"/>
    <x v="1"/>
    <n v="123"/>
    <x v="0"/>
    <s v="Normal"/>
  </r>
  <r>
    <n v="63"/>
    <x v="1"/>
    <n v="122"/>
    <x v="0"/>
    <n v="60"/>
    <x v="0"/>
    <n v="267000"/>
    <n v="1.2"/>
    <n v="145"/>
    <x v="0"/>
    <x v="0"/>
    <n v="147"/>
    <x v="0"/>
    <s v="Normal"/>
  </r>
  <r>
    <n v="63"/>
    <x v="1"/>
    <n v="1767"/>
    <x v="1"/>
    <n v="45"/>
    <x v="0"/>
    <n v="73000"/>
    <n v="0.7"/>
    <n v="137"/>
    <x v="0"/>
    <x v="0"/>
    <n v="186"/>
    <x v="0"/>
    <s v="Normal"/>
  </r>
  <r>
    <n v="63"/>
    <x v="1"/>
    <n v="103"/>
    <x v="0"/>
    <n v="35"/>
    <x v="0"/>
    <n v="179000"/>
    <n v="0.9"/>
    <n v="136"/>
    <x v="0"/>
    <x v="1"/>
    <n v="270"/>
    <x v="0"/>
    <s v="Normal"/>
  </r>
  <r>
    <n v="64"/>
    <x v="0"/>
    <n v="1610"/>
    <x v="1"/>
    <n v="60"/>
    <x v="0"/>
    <n v="242000"/>
    <n v="1"/>
    <n v="137"/>
    <x v="0"/>
    <x v="0"/>
    <n v="113"/>
    <x v="0"/>
    <s v="Under Obs"/>
  </r>
  <r>
    <n v="64"/>
    <x v="1"/>
    <n v="62"/>
    <x v="1"/>
    <n v="60"/>
    <x v="0"/>
    <n v="309000"/>
    <n v="1.5"/>
    <n v="135"/>
    <x v="1"/>
    <x v="0"/>
    <n v="174"/>
    <x v="0"/>
    <s v="Normal"/>
  </r>
  <r>
    <n v="64"/>
    <x v="0"/>
    <n v="143"/>
    <x v="1"/>
    <n v="25"/>
    <x v="0"/>
    <n v="246000"/>
    <n v="2.4"/>
    <n v="135"/>
    <x v="0"/>
    <x v="0"/>
    <n v="214"/>
    <x v="0"/>
    <s v="Normal"/>
  </r>
  <r>
    <n v="65"/>
    <x v="0"/>
    <n v="146"/>
    <x v="1"/>
    <n v="20"/>
    <x v="0"/>
    <n v="162000"/>
    <n v="1.3"/>
    <n v="129"/>
    <x v="0"/>
    <x v="1"/>
    <n v="7"/>
    <x v="1"/>
    <s v="Critical"/>
  </r>
  <r>
    <n v="65"/>
    <x v="1"/>
    <n v="160"/>
    <x v="0"/>
    <n v="20"/>
    <x v="0"/>
    <n v="327000"/>
    <n v="2.7"/>
    <n v="116"/>
    <x v="1"/>
    <x v="0"/>
    <n v="8"/>
    <x v="1"/>
    <s v="Critical"/>
  </r>
  <r>
    <n v="65"/>
    <x v="0"/>
    <n v="157"/>
    <x v="1"/>
    <n v="65"/>
    <x v="0"/>
    <n v="263358.03000000003"/>
    <n v="1.5"/>
    <n v="138"/>
    <x v="1"/>
    <x v="0"/>
    <n v="10"/>
    <x v="1"/>
    <s v="Critical"/>
  </r>
  <r>
    <n v="65"/>
    <x v="1"/>
    <n v="52"/>
    <x v="1"/>
    <n v="25"/>
    <x v="1"/>
    <n v="276000"/>
    <n v="1.3"/>
    <n v="137"/>
    <x v="1"/>
    <x v="0"/>
    <n v="16"/>
    <x v="0"/>
    <s v="Critical"/>
  </r>
  <r>
    <n v="65"/>
    <x v="1"/>
    <n v="128"/>
    <x v="0"/>
    <n v="30"/>
    <x v="1"/>
    <n v="297000"/>
    <n v="1.6"/>
    <n v="136"/>
    <x v="1"/>
    <x v="0"/>
    <n v="20"/>
    <x v="1"/>
    <s v="Critical"/>
  </r>
  <r>
    <n v="65"/>
    <x v="0"/>
    <n v="94"/>
    <x v="0"/>
    <n v="50"/>
    <x v="1"/>
    <n v="188000"/>
    <n v="1"/>
    <n v="140"/>
    <x v="0"/>
    <x v="0"/>
    <n v="29"/>
    <x v="1"/>
    <s v="Critical"/>
  </r>
  <r>
    <n v="65"/>
    <x v="0"/>
    <n v="113"/>
    <x v="0"/>
    <n v="25"/>
    <x v="0"/>
    <n v="497000"/>
    <n v="1.83"/>
    <n v="135"/>
    <x v="0"/>
    <x v="0"/>
    <n v="67"/>
    <x v="1"/>
    <s v="Under Obs"/>
  </r>
  <r>
    <n v="65"/>
    <x v="0"/>
    <n v="224"/>
    <x v="0"/>
    <n v="50"/>
    <x v="0"/>
    <n v="149000"/>
    <n v="1.3"/>
    <n v="137"/>
    <x v="0"/>
    <x v="1"/>
    <n v="72"/>
    <x v="0"/>
    <s v="Under Obs"/>
  </r>
  <r>
    <n v="65"/>
    <x v="1"/>
    <n v="68"/>
    <x v="0"/>
    <n v="60"/>
    <x v="1"/>
    <n v="304000"/>
    <n v="0.8"/>
    <n v="140"/>
    <x v="0"/>
    <x v="0"/>
    <n v="79"/>
    <x v="0"/>
    <s v="Under Obs"/>
  </r>
  <r>
    <n v="65"/>
    <x v="1"/>
    <n v="305"/>
    <x v="1"/>
    <n v="25"/>
    <x v="0"/>
    <n v="298000"/>
    <n v="1.1000000000000001"/>
    <n v="141"/>
    <x v="0"/>
    <x v="0"/>
    <n v="87"/>
    <x v="0"/>
    <s v="Under Obs"/>
  </r>
  <r>
    <n v="65"/>
    <x v="1"/>
    <n v="113"/>
    <x v="0"/>
    <n v="60"/>
    <x v="1"/>
    <n v="203000"/>
    <n v="0.9"/>
    <n v="140"/>
    <x v="1"/>
    <x v="0"/>
    <n v="94"/>
    <x v="0"/>
    <s v="Under Obs"/>
  </r>
  <r>
    <n v="65"/>
    <x v="1"/>
    <n v="59"/>
    <x v="0"/>
    <n v="60"/>
    <x v="0"/>
    <n v="172000"/>
    <n v="0.9"/>
    <n v="137"/>
    <x v="1"/>
    <x v="0"/>
    <n v="107"/>
    <x v="0"/>
    <s v="Under Obs"/>
  </r>
  <r>
    <n v="65"/>
    <x v="1"/>
    <n v="335"/>
    <x v="1"/>
    <n v="35"/>
    <x v="1"/>
    <n v="235000"/>
    <n v="0.8"/>
    <n v="136"/>
    <x v="1"/>
    <x v="0"/>
    <n v="120"/>
    <x v="0"/>
    <s v="Normal"/>
  </r>
  <r>
    <n v="65"/>
    <x v="0"/>
    <n v="582"/>
    <x v="0"/>
    <n v="40"/>
    <x v="0"/>
    <n v="270000"/>
    <n v="1"/>
    <n v="138"/>
    <x v="1"/>
    <x v="0"/>
    <n v="140"/>
    <x v="0"/>
    <s v="Normal"/>
  </r>
  <r>
    <n v="65"/>
    <x v="0"/>
    <n v="198"/>
    <x v="0"/>
    <n v="35"/>
    <x v="1"/>
    <n v="281000"/>
    <n v="0.9"/>
    <n v="137"/>
    <x v="0"/>
    <x v="1"/>
    <n v="146"/>
    <x v="0"/>
    <s v="Normal"/>
  </r>
  <r>
    <n v="65"/>
    <x v="0"/>
    <n v="395"/>
    <x v="0"/>
    <n v="25"/>
    <x v="0"/>
    <n v="265000"/>
    <n v="1.2"/>
    <n v="136"/>
    <x v="0"/>
    <x v="1"/>
    <n v="154"/>
    <x v="1"/>
    <s v="Normal"/>
  </r>
  <r>
    <n v="65"/>
    <x v="0"/>
    <n v="167"/>
    <x v="1"/>
    <n v="30"/>
    <x v="0"/>
    <n v="259000"/>
    <n v="0.8"/>
    <n v="138"/>
    <x v="1"/>
    <x v="0"/>
    <n v="186"/>
    <x v="0"/>
    <s v="Normal"/>
  </r>
  <r>
    <n v="65"/>
    <x v="1"/>
    <n v="135"/>
    <x v="1"/>
    <n v="35"/>
    <x v="1"/>
    <n v="290000"/>
    <n v="0.8"/>
    <n v="134"/>
    <x v="0"/>
    <x v="0"/>
    <n v="194"/>
    <x v="0"/>
    <s v="Normal"/>
  </r>
  <r>
    <n v="65"/>
    <x v="0"/>
    <n v="118"/>
    <x v="1"/>
    <n v="50"/>
    <x v="0"/>
    <n v="194000"/>
    <n v="1.1000000000000001"/>
    <n v="145"/>
    <x v="0"/>
    <x v="1"/>
    <n v="200"/>
    <x v="0"/>
    <s v="Normal"/>
  </r>
  <r>
    <n v="65"/>
    <x v="0"/>
    <n v="56"/>
    <x v="1"/>
    <n v="25"/>
    <x v="0"/>
    <n v="237000"/>
    <n v="5"/>
    <n v="130"/>
    <x v="1"/>
    <x v="0"/>
    <n v="207"/>
    <x v="0"/>
    <s v="Normal"/>
  </r>
  <r>
    <n v="65"/>
    <x v="1"/>
    <n v="720"/>
    <x v="0"/>
    <n v="40"/>
    <x v="0"/>
    <n v="257000"/>
    <n v="1"/>
    <n v="136"/>
    <x v="1"/>
    <x v="0"/>
    <n v="210"/>
    <x v="0"/>
    <s v="Normal"/>
  </r>
  <r>
    <n v="65"/>
    <x v="0"/>
    <n v="582"/>
    <x v="0"/>
    <n v="30"/>
    <x v="0"/>
    <n v="249000"/>
    <n v="1.3"/>
    <n v="136"/>
    <x v="0"/>
    <x v="1"/>
    <n v="212"/>
    <x v="0"/>
    <s v="Normal"/>
  </r>
  <r>
    <n v="65"/>
    <x v="0"/>
    <n v="326"/>
    <x v="1"/>
    <n v="38"/>
    <x v="0"/>
    <n v="294000"/>
    <n v="1.7"/>
    <n v="139"/>
    <x v="1"/>
    <x v="0"/>
    <n v="220"/>
    <x v="0"/>
    <s v="Normal"/>
  </r>
  <r>
    <n v="65"/>
    <x v="1"/>
    <n v="258"/>
    <x v="0"/>
    <n v="25"/>
    <x v="0"/>
    <n v="198000"/>
    <n v="1.4"/>
    <n v="129"/>
    <x v="0"/>
    <x v="0"/>
    <n v="235"/>
    <x v="1"/>
    <s v="Normal"/>
  </r>
  <r>
    <n v="65"/>
    <x v="0"/>
    <n v="1688"/>
    <x v="1"/>
    <n v="38"/>
    <x v="0"/>
    <n v="263358.03000000003"/>
    <n v="1.1000000000000001"/>
    <n v="138"/>
    <x v="0"/>
    <x v="1"/>
    <n v="250"/>
    <x v="0"/>
    <s v="Normal"/>
  </r>
  <r>
    <n v="65"/>
    <x v="0"/>
    <n v="892"/>
    <x v="0"/>
    <n v="35"/>
    <x v="0"/>
    <n v="263358.03000000003"/>
    <n v="1.1000000000000001"/>
    <n v="142"/>
    <x v="1"/>
    <x v="0"/>
    <n v="256"/>
    <x v="0"/>
    <s v="Normal"/>
  </r>
  <r>
    <n v="66"/>
    <x v="1"/>
    <n v="68"/>
    <x v="0"/>
    <n v="38"/>
    <x v="1"/>
    <n v="162000"/>
    <n v="1"/>
    <n v="136"/>
    <x v="1"/>
    <x v="0"/>
    <n v="95"/>
    <x v="0"/>
    <s v="Under Obs"/>
  </r>
  <r>
    <n v="66"/>
    <x v="1"/>
    <n v="72"/>
    <x v="1"/>
    <n v="40"/>
    <x v="1"/>
    <n v="242000"/>
    <n v="1.2"/>
    <n v="134"/>
    <x v="0"/>
    <x v="0"/>
    <n v="121"/>
    <x v="0"/>
    <s v="Normal"/>
  </r>
  <r>
    <n v="67"/>
    <x v="0"/>
    <n v="582"/>
    <x v="1"/>
    <n v="50"/>
    <x v="0"/>
    <n v="263358.03000000003"/>
    <n v="1.18"/>
    <n v="137"/>
    <x v="0"/>
    <x v="1"/>
    <n v="76"/>
    <x v="0"/>
    <s v="Under Obs"/>
  </r>
  <r>
    <n v="67"/>
    <x v="0"/>
    <n v="213"/>
    <x v="1"/>
    <n v="38"/>
    <x v="0"/>
    <n v="215000"/>
    <n v="1.2"/>
    <n v="133"/>
    <x v="1"/>
    <x v="0"/>
    <n v="245"/>
    <x v="0"/>
    <s v="Normal"/>
  </r>
  <r>
    <n v="68"/>
    <x v="1"/>
    <n v="220"/>
    <x v="1"/>
    <n v="35"/>
    <x v="1"/>
    <n v="289000"/>
    <n v="0.9"/>
    <n v="140"/>
    <x v="0"/>
    <x v="1"/>
    <n v="20"/>
    <x v="1"/>
    <s v="Critical"/>
  </r>
  <r>
    <n v="68"/>
    <x v="1"/>
    <n v="577"/>
    <x v="1"/>
    <n v="25"/>
    <x v="1"/>
    <n v="166000"/>
    <n v="1"/>
    <n v="138"/>
    <x v="0"/>
    <x v="0"/>
    <n v="43"/>
    <x v="1"/>
    <s v="Critical"/>
  </r>
  <r>
    <n v="68"/>
    <x v="1"/>
    <n v="646"/>
    <x v="1"/>
    <n v="25"/>
    <x v="0"/>
    <n v="305000"/>
    <n v="2.1"/>
    <n v="130"/>
    <x v="0"/>
    <x v="0"/>
    <n v="108"/>
    <x v="0"/>
    <s v="Under Obs"/>
  </r>
  <r>
    <n v="68"/>
    <x v="1"/>
    <n v="1021"/>
    <x v="0"/>
    <n v="35"/>
    <x v="0"/>
    <n v="271000"/>
    <n v="1.1000000000000001"/>
    <n v="134"/>
    <x v="0"/>
    <x v="0"/>
    <n v="197"/>
    <x v="0"/>
    <s v="Normal"/>
  </r>
  <r>
    <n v="68"/>
    <x v="1"/>
    <n v="157"/>
    <x v="0"/>
    <n v="60"/>
    <x v="0"/>
    <n v="208000"/>
    <n v="1"/>
    <n v="140"/>
    <x v="1"/>
    <x v="0"/>
    <n v="237"/>
    <x v="0"/>
    <s v="Normal"/>
  </r>
  <r>
    <n v="69"/>
    <x v="0"/>
    <n v="582"/>
    <x v="0"/>
    <n v="35"/>
    <x v="0"/>
    <n v="228000"/>
    <n v="3.5"/>
    <n v="134"/>
    <x v="0"/>
    <x v="0"/>
    <n v="30"/>
    <x v="1"/>
    <s v="Critical"/>
  </r>
  <r>
    <n v="69"/>
    <x v="0"/>
    <n v="582"/>
    <x v="1"/>
    <n v="20"/>
    <x v="0"/>
    <n v="266000"/>
    <n v="1.2"/>
    <n v="134"/>
    <x v="0"/>
    <x v="1"/>
    <n v="73"/>
    <x v="1"/>
    <s v="Under Obs"/>
  </r>
  <r>
    <n v="69"/>
    <x v="0"/>
    <n v="1419"/>
    <x v="1"/>
    <n v="40"/>
    <x v="0"/>
    <n v="105000"/>
    <n v="1"/>
    <n v="135"/>
    <x v="0"/>
    <x v="1"/>
    <n v="147"/>
    <x v="0"/>
    <s v="Normal"/>
  </r>
  <r>
    <n v="70"/>
    <x v="1"/>
    <n v="125"/>
    <x v="1"/>
    <n v="25"/>
    <x v="1"/>
    <n v="237000"/>
    <n v="1"/>
    <n v="140"/>
    <x v="1"/>
    <x v="0"/>
    <n v="15"/>
    <x v="1"/>
    <s v="Critical"/>
  </r>
  <r>
    <n v="70"/>
    <x v="0"/>
    <n v="122"/>
    <x v="0"/>
    <n v="45"/>
    <x v="1"/>
    <n v="284000"/>
    <n v="1.3"/>
    <n v="136"/>
    <x v="0"/>
    <x v="1"/>
    <n v="26"/>
    <x v="1"/>
    <s v="Critical"/>
  </r>
  <r>
    <n v="70"/>
    <x v="0"/>
    <n v="582"/>
    <x v="1"/>
    <n v="20"/>
    <x v="1"/>
    <n v="263358.03000000003"/>
    <n v="1.83"/>
    <n v="134"/>
    <x v="0"/>
    <x v="1"/>
    <n v="31"/>
    <x v="1"/>
    <s v="Critical"/>
  </r>
  <r>
    <n v="70"/>
    <x v="0"/>
    <n v="571"/>
    <x v="0"/>
    <n v="45"/>
    <x v="1"/>
    <n v="185000"/>
    <n v="1.2"/>
    <n v="139"/>
    <x v="0"/>
    <x v="1"/>
    <n v="33"/>
    <x v="1"/>
    <s v="Critical"/>
  </r>
  <r>
    <n v="70"/>
    <x v="1"/>
    <n v="69"/>
    <x v="0"/>
    <n v="50"/>
    <x v="1"/>
    <n v="351000"/>
    <n v="1"/>
    <n v="134"/>
    <x v="1"/>
    <x v="0"/>
    <n v="44"/>
    <x v="1"/>
    <s v="Critical"/>
  </r>
  <r>
    <n v="70"/>
    <x v="1"/>
    <n v="75"/>
    <x v="1"/>
    <n v="35"/>
    <x v="0"/>
    <n v="223000"/>
    <n v="2.7"/>
    <n v="138"/>
    <x v="0"/>
    <x v="1"/>
    <n v="54"/>
    <x v="0"/>
    <s v="Critical"/>
  </r>
  <r>
    <n v="70"/>
    <x v="0"/>
    <n v="161"/>
    <x v="1"/>
    <n v="25"/>
    <x v="0"/>
    <n v="244000"/>
    <n v="1.2"/>
    <n v="142"/>
    <x v="1"/>
    <x v="0"/>
    <n v="66"/>
    <x v="1"/>
    <s v="Under Obs"/>
  </r>
  <r>
    <n v="70"/>
    <x v="0"/>
    <n v="92"/>
    <x v="1"/>
    <n v="60"/>
    <x v="1"/>
    <n v="317000"/>
    <n v="0.8"/>
    <n v="140"/>
    <x v="1"/>
    <x v="1"/>
    <n v="74"/>
    <x v="0"/>
    <s v="Under Obs"/>
  </r>
  <r>
    <n v="70"/>
    <x v="0"/>
    <n v="69"/>
    <x v="1"/>
    <n v="40"/>
    <x v="0"/>
    <n v="293000"/>
    <n v="1.7"/>
    <n v="136"/>
    <x v="1"/>
    <x v="0"/>
    <n v="75"/>
    <x v="0"/>
    <s v="Under Obs"/>
  </r>
  <r>
    <n v="70"/>
    <x v="0"/>
    <n v="66"/>
    <x v="0"/>
    <n v="45"/>
    <x v="0"/>
    <n v="249000"/>
    <n v="0.8"/>
    <n v="136"/>
    <x v="0"/>
    <x v="1"/>
    <n v="80"/>
    <x v="0"/>
    <s v="Under Obs"/>
  </r>
  <r>
    <n v="70"/>
    <x v="1"/>
    <n v="59"/>
    <x v="1"/>
    <n v="60"/>
    <x v="0"/>
    <n v="255000"/>
    <n v="1.1000000000000001"/>
    <n v="136"/>
    <x v="1"/>
    <x v="0"/>
    <n v="85"/>
    <x v="0"/>
    <s v="Under Obs"/>
  </r>
  <r>
    <n v="70"/>
    <x v="1"/>
    <n v="143"/>
    <x v="1"/>
    <n v="60"/>
    <x v="0"/>
    <n v="351000"/>
    <n v="1.3"/>
    <n v="137"/>
    <x v="1"/>
    <x v="0"/>
    <n v="90"/>
    <x v="1"/>
    <s v="Under Obs"/>
  </r>
  <r>
    <n v="70"/>
    <x v="0"/>
    <n v="835"/>
    <x v="1"/>
    <n v="35"/>
    <x v="1"/>
    <n v="305000"/>
    <n v="0.8"/>
    <n v="133"/>
    <x v="1"/>
    <x v="0"/>
    <n v="145"/>
    <x v="0"/>
    <s v="Normal"/>
  </r>
  <r>
    <n v="70"/>
    <x v="1"/>
    <n v="171"/>
    <x v="1"/>
    <n v="60"/>
    <x v="1"/>
    <n v="176000"/>
    <n v="1.1000000000000001"/>
    <n v="145"/>
    <x v="0"/>
    <x v="1"/>
    <n v="146"/>
    <x v="0"/>
    <s v="Normal"/>
  </r>
  <r>
    <n v="70"/>
    <x v="0"/>
    <n v="97"/>
    <x v="1"/>
    <n v="60"/>
    <x v="1"/>
    <n v="220000"/>
    <n v="0.9"/>
    <n v="138"/>
    <x v="0"/>
    <x v="0"/>
    <n v="186"/>
    <x v="0"/>
    <s v="Normal"/>
  </r>
  <r>
    <n v="70"/>
    <x v="0"/>
    <n v="212"/>
    <x v="0"/>
    <n v="17"/>
    <x v="1"/>
    <n v="389000"/>
    <n v="1"/>
    <n v="136"/>
    <x v="0"/>
    <x v="1"/>
    <n v="188"/>
    <x v="0"/>
    <s v="Normal"/>
  </r>
  <r>
    <n v="70"/>
    <x v="0"/>
    <n v="1202"/>
    <x v="1"/>
    <n v="50"/>
    <x v="1"/>
    <n v="358000"/>
    <n v="0.9"/>
    <n v="141"/>
    <x v="1"/>
    <x v="0"/>
    <n v="196"/>
    <x v="0"/>
    <s v="Normal"/>
  </r>
  <r>
    <n v="70"/>
    <x v="0"/>
    <n v="93"/>
    <x v="1"/>
    <n v="35"/>
    <x v="0"/>
    <n v="185000"/>
    <n v="1.1000000000000001"/>
    <n v="134"/>
    <x v="0"/>
    <x v="1"/>
    <n v="208"/>
    <x v="0"/>
    <s v="Normal"/>
  </r>
  <r>
    <n v="70"/>
    <x v="0"/>
    <n v="232"/>
    <x v="1"/>
    <n v="30"/>
    <x v="0"/>
    <n v="173000"/>
    <n v="1.2"/>
    <n v="132"/>
    <x v="0"/>
    <x v="0"/>
    <n v="210"/>
    <x v="0"/>
    <s v="Normal"/>
  </r>
  <r>
    <n v="70"/>
    <x v="0"/>
    <n v="81"/>
    <x v="0"/>
    <n v="35"/>
    <x v="1"/>
    <n v="533000"/>
    <n v="1.3"/>
    <n v="139"/>
    <x v="1"/>
    <x v="0"/>
    <n v="212"/>
    <x v="0"/>
    <s v="Normal"/>
  </r>
  <r>
    <n v="70"/>
    <x v="0"/>
    <n v="88"/>
    <x v="0"/>
    <n v="35"/>
    <x v="1"/>
    <n v="236000"/>
    <n v="1.2"/>
    <n v="132"/>
    <x v="1"/>
    <x v="0"/>
    <n v="215"/>
    <x v="0"/>
    <s v="Normal"/>
  </r>
  <r>
    <n v="70"/>
    <x v="0"/>
    <n v="618"/>
    <x v="1"/>
    <n v="35"/>
    <x v="0"/>
    <n v="327000"/>
    <n v="1.1000000000000001"/>
    <n v="142"/>
    <x v="1"/>
    <x v="0"/>
    <n v="245"/>
    <x v="0"/>
    <s v="Normal"/>
  </r>
  <r>
    <n v="70"/>
    <x v="0"/>
    <n v="582"/>
    <x v="0"/>
    <n v="38"/>
    <x v="0"/>
    <n v="25100"/>
    <n v="1.1000000000000001"/>
    <n v="140"/>
    <x v="0"/>
    <x v="0"/>
    <n v="246"/>
    <x v="0"/>
    <s v="Normal"/>
  </r>
  <r>
    <n v="70"/>
    <x v="0"/>
    <n v="2695"/>
    <x v="0"/>
    <n v="40"/>
    <x v="0"/>
    <n v="241000"/>
    <n v="1"/>
    <n v="137"/>
    <x v="0"/>
    <x v="0"/>
    <n v="247"/>
    <x v="0"/>
    <s v="Normal"/>
  </r>
  <r>
    <n v="70"/>
    <x v="0"/>
    <n v="582"/>
    <x v="1"/>
    <n v="40"/>
    <x v="0"/>
    <n v="51000"/>
    <n v="2.7"/>
    <n v="136"/>
    <x v="0"/>
    <x v="1"/>
    <n v="250"/>
    <x v="0"/>
    <s v="Normal"/>
  </r>
  <r>
    <n v="72"/>
    <x v="0"/>
    <n v="127"/>
    <x v="0"/>
    <n v="50"/>
    <x v="1"/>
    <n v="218000"/>
    <n v="1"/>
    <n v="134"/>
    <x v="0"/>
    <x v="0"/>
    <n v="33"/>
    <x v="0"/>
    <s v="Critical"/>
  </r>
  <r>
    <n v="72"/>
    <x v="0"/>
    <n v="364"/>
    <x v="0"/>
    <n v="20"/>
    <x v="1"/>
    <n v="254000"/>
    <n v="1.3"/>
    <n v="136"/>
    <x v="0"/>
    <x v="1"/>
    <n v="59"/>
    <x v="1"/>
    <s v="Critical"/>
  </r>
  <r>
    <n v="72"/>
    <x v="1"/>
    <n v="110"/>
    <x v="1"/>
    <n v="25"/>
    <x v="0"/>
    <n v="274000"/>
    <n v="1"/>
    <n v="140"/>
    <x v="0"/>
    <x v="1"/>
    <n v="65"/>
    <x v="1"/>
    <s v="Under Obs"/>
  </r>
  <r>
    <n v="72"/>
    <x v="1"/>
    <n v="328"/>
    <x v="1"/>
    <n v="30"/>
    <x v="1"/>
    <n v="621000"/>
    <n v="1.7"/>
    <n v="138"/>
    <x v="1"/>
    <x v="1"/>
    <n v="88"/>
    <x v="1"/>
    <s v="Under Obs"/>
  </r>
  <r>
    <n v="72"/>
    <x v="1"/>
    <n v="943"/>
    <x v="1"/>
    <n v="25"/>
    <x v="1"/>
    <n v="338000"/>
    <n v="1.7"/>
    <n v="139"/>
    <x v="0"/>
    <x v="1"/>
    <n v="111"/>
    <x v="1"/>
    <s v="Under Obs"/>
  </r>
  <r>
    <n v="72"/>
    <x v="0"/>
    <n v="233"/>
    <x v="1"/>
    <n v="45"/>
    <x v="1"/>
    <n v="235000"/>
    <n v="2.5"/>
    <n v="135"/>
    <x v="1"/>
    <x v="0"/>
    <n v="115"/>
    <x v="1"/>
    <s v="Under Obs"/>
  </r>
  <r>
    <n v="72"/>
    <x v="0"/>
    <n v="211"/>
    <x v="1"/>
    <n v="25"/>
    <x v="0"/>
    <n v="274000"/>
    <n v="1.2"/>
    <n v="134"/>
    <x v="1"/>
    <x v="0"/>
    <n v="207"/>
    <x v="0"/>
    <s v="Normal"/>
  </r>
  <r>
    <n v="73"/>
    <x v="1"/>
    <n v="231"/>
    <x v="0"/>
    <n v="30"/>
    <x v="0"/>
    <n v="160000"/>
    <n v="1.18"/>
    <n v="142"/>
    <x v="0"/>
    <x v="1"/>
    <n v="180"/>
    <x v="0"/>
    <s v="Normal"/>
  </r>
  <r>
    <n v="73"/>
    <x v="0"/>
    <n v="582"/>
    <x v="1"/>
    <n v="35"/>
    <x v="1"/>
    <n v="203000"/>
    <n v="1.3"/>
    <n v="134"/>
    <x v="0"/>
    <x v="0"/>
    <n v="195"/>
    <x v="0"/>
    <s v="Normal"/>
  </r>
  <r>
    <n v="73"/>
    <x v="0"/>
    <n v="582"/>
    <x v="1"/>
    <n v="20"/>
    <x v="0"/>
    <n v="263358.03000000003"/>
    <n v="1.83"/>
    <n v="134"/>
    <x v="0"/>
    <x v="0"/>
    <n v="198"/>
    <x v="1"/>
    <s v="Normal"/>
  </r>
  <r>
    <n v="73"/>
    <x v="1"/>
    <n v="1185"/>
    <x v="1"/>
    <n v="40"/>
    <x v="1"/>
    <n v="220000"/>
    <n v="0.9"/>
    <n v="141"/>
    <x v="1"/>
    <x v="0"/>
    <n v="213"/>
    <x v="0"/>
    <s v="Normal"/>
  </r>
  <r>
    <n v="75"/>
    <x v="0"/>
    <n v="582"/>
    <x v="1"/>
    <n v="20"/>
    <x v="1"/>
    <n v="265000"/>
    <n v="1.9"/>
    <n v="130"/>
    <x v="0"/>
    <x v="0"/>
    <n v="4"/>
    <x v="1"/>
    <s v="Critical"/>
  </r>
  <r>
    <n v="75"/>
    <x v="1"/>
    <n v="246"/>
    <x v="1"/>
    <n v="15"/>
    <x v="0"/>
    <n v="127000"/>
    <n v="1.2"/>
    <n v="137"/>
    <x v="0"/>
    <x v="0"/>
    <n v="10"/>
    <x v="1"/>
    <s v="Critical"/>
  </r>
  <r>
    <n v="75"/>
    <x v="1"/>
    <n v="81"/>
    <x v="1"/>
    <n v="38"/>
    <x v="1"/>
    <n v="368000"/>
    <n v="4"/>
    <n v="131"/>
    <x v="0"/>
    <x v="1"/>
    <n v="10"/>
    <x v="1"/>
    <s v="Critical"/>
  </r>
  <r>
    <n v="75"/>
    <x v="0"/>
    <n v="582"/>
    <x v="0"/>
    <n v="30"/>
    <x v="1"/>
    <n v="263358.03000000003"/>
    <n v="1.83"/>
    <n v="134"/>
    <x v="1"/>
    <x v="0"/>
    <n v="23"/>
    <x v="1"/>
    <s v="Critical"/>
  </r>
  <r>
    <n v="75"/>
    <x v="1"/>
    <n v="203"/>
    <x v="0"/>
    <n v="38"/>
    <x v="1"/>
    <n v="283000"/>
    <n v="0.6"/>
    <n v="131"/>
    <x v="0"/>
    <x v="1"/>
    <n v="74"/>
    <x v="0"/>
    <s v="Under Obs"/>
  </r>
  <r>
    <n v="75"/>
    <x v="0"/>
    <n v="582"/>
    <x v="1"/>
    <n v="45"/>
    <x v="1"/>
    <n v="263358.03000000003"/>
    <n v="1.18"/>
    <n v="137"/>
    <x v="0"/>
    <x v="0"/>
    <n v="87"/>
    <x v="0"/>
    <s v="Under Obs"/>
  </r>
  <r>
    <n v="75"/>
    <x v="0"/>
    <n v="582"/>
    <x v="1"/>
    <n v="40"/>
    <x v="0"/>
    <n v="263358.03000000003"/>
    <n v="1.18"/>
    <n v="137"/>
    <x v="0"/>
    <x v="0"/>
    <n v="107"/>
    <x v="0"/>
    <s v="Under Obs"/>
  </r>
  <r>
    <n v="75"/>
    <x v="1"/>
    <n v="582"/>
    <x v="1"/>
    <n v="30"/>
    <x v="0"/>
    <n v="225000"/>
    <n v="1.83"/>
    <n v="134"/>
    <x v="0"/>
    <x v="0"/>
    <n v="113"/>
    <x v="1"/>
    <s v="Under Obs"/>
  </r>
  <r>
    <n v="75"/>
    <x v="0"/>
    <n v="99"/>
    <x v="1"/>
    <n v="38"/>
    <x v="1"/>
    <n v="224000"/>
    <n v="2.5"/>
    <n v="134"/>
    <x v="0"/>
    <x v="0"/>
    <n v="162"/>
    <x v="1"/>
    <s v="Normal"/>
  </r>
  <r>
    <n v="75"/>
    <x v="0"/>
    <n v="675"/>
    <x v="0"/>
    <n v="60"/>
    <x v="0"/>
    <n v="265000"/>
    <n v="1.4"/>
    <n v="125"/>
    <x v="1"/>
    <x v="0"/>
    <n v="205"/>
    <x v="0"/>
    <s v="Normal"/>
  </r>
  <r>
    <n v="75"/>
    <x v="0"/>
    <n v="119"/>
    <x v="1"/>
    <n v="50"/>
    <x v="1"/>
    <n v="248000"/>
    <n v="1.1000000000000001"/>
    <n v="148"/>
    <x v="0"/>
    <x v="0"/>
    <n v="209"/>
    <x v="0"/>
    <s v="Normal"/>
  </r>
  <r>
    <n v="77"/>
    <x v="1"/>
    <n v="418"/>
    <x v="1"/>
    <n v="45"/>
    <x v="0"/>
    <n v="223000"/>
    <n v="1.8"/>
    <n v="145"/>
    <x v="0"/>
    <x v="0"/>
    <n v="180"/>
    <x v="1"/>
    <s v="Normal"/>
  </r>
  <r>
    <n v="77"/>
    <x v="1"/>
    <n v="109"/>
    <x v="1"/>
    <n v="50"/>
    <x v="1"/>
    <n v="406000"/>
    <n v="1.1000000000000001"/>
    <n v="137"/>
    <x v="0"/>
    <x v="0"/>
    <n v="209"/>
    <x v="0"/>
    <s v="Normal"/>
  </r>
  <r>
    <n v="78"/>
    <x v="1"/>
    <n v="64"/>
    <x v="1"/>
    <n v="40"/>
    <x v="0"/>
    <n v="277000"/>
    <n v="0.7"/>
    <n v="137"/>
    <x v="0"/>
    <x v="1"/>
    <n v="187"/>
    <x v="0"/>
    <s v="Normal"/>
  </r>
  <r>
    <n v="78"/>
    <x v="0"/>
    <n v="224"/>
    <x v="1"/>
    <n v="50"/>
    <x v="0"/>
    <n v="481000"/>
    <n v="1.4"/>
    <n v="138"/>
    <x v="0"/>
    <x v="1"/>
    <n v="192"/>
    <x v="0"/>
    <s v="Normal"/>
  </r>
  <r>
    <n v="79"/>
    <x v="1"/>
    <n v="55"/>
    <x v="1"/>
    <n v="50"/>
    <x v="1"/>
    <n v="172000"/>
    <n v="1.8"/>
    <n v="133"/>
    <x v="0"/>
    <x v="0"/>
    <n v="78"/>
    <x v="0"/>
    <s v="Under Obs"/>
  </r>
  <r>
    <n v="80"/>
    <x v="1"/>
    <n v="123"/>
    <x v="1"/>
    <n v="35"/>
    <x v="1"/>
    <n v="388000"/>
    <n v="9.4"/>
    <n v="133"/>
    <x v="0"/>
    <x v="1"/>
    <n v="10"/>
    <x v="1"/>
    <s v="Critical"/>
  </r>
  <r>
    <n v="80"/>
    <x v="0"/>
    <n v="148"/>
    <x v="0"/>
    <n v="38"/>
    <x v="0"/>
    <n v="149000"/>
    <n v="1.9"/>
    <n v="144"/>
    <x v="0"/>
    <x v="1"/>
    <n v="23"/>
    <x v="1"/>
    <s v="Critical"/>
  </r>
  <r>
    <n v="80"/>
    <x v="1"/>
    <n v="553"/>
    <x v="1"/>
    <n v="20"/>
    <x v="1"/>
    <n v="140000"/>
    <n v="4.4000000000000004"/>
    <n v="133"/>
    <x v="0"/>
    <x v="0"/>
    <n v="41"/>
    <x v="1"/>
    <s v="Critical"/>
  </r>
  <r>
    <n v="80"/>
    <x v="0"/>
    <n v="898"/>
    <x v="1"/>
    <n v="25"/>
    <x v="0"/>
    <n v="149000"/>
    <n v="1.1000000000000001"/>
    <n v="144"/>
    <x v="0"/>
    <x v="1"/>
    <n v="87"/>
    <x v="0"/>
    <s v="Under Obs"/>
  </r>
  <r>
    <n v="80"/>
    <x v="0"/>
    <n v="805"/>
    <x v="1"/>
    <n v="38"/>
    <x v="0"/>
    <n v="263358.03000000003"/>
    <n v="1.1000000000000001"/>
    <n v="134"/>
    <x v="0"/>
    <x v="0"/>
    <n v="109"/>
    <x v="1"/>
    <s v="Under Obs"/>
  </r>
  <r>
    <n v="80"/>
    <x v="0"/>
    <n v="776"/>
    <x v="0"/>
    <n v="38"/>
    <x v="1"/>
    <n v="192000"/>
    <n v="1.3"/>
    <n v="135"/>
    <x v="1"/>
    <x v="0"/>
    <n v="130"/>
    <x v="1"/>
    <s v="Normal"/>
  </r>
  <r>
    <n v="80"/>
    <x v="0"/>
    <n v="582"/>
    <x v="0"/>
    <n v="35"/>
    <x v="0"/>
    <n v="350000"/>
    <n v="2.1"/>
    <n v="134"/>
    <x v="0"/>
    <x v="0"/>
    <n v="174"/>
    <x v="0"/>
    <s v="Normal"/>
  </r>
  <r>
    <n v="81"/>
    <x v="0"/>
    <n v="4540"/>
    <x v="1"/>
    <n v="35"/>
    <x v="0"/>
    <n v="231000"/>
    <n v="1.18"/>
    <n v="137"/>
    <x v="0"/>
    <x v="1"/>
    <n v="107"/>
    <x v="0"/>
    <s v="Under Obs"/>
  </r>
  <r>
    <n v="82"/>
    <x v="1"/>
    <n v="379"/>
    <x v="1"/>
    <n v="50"/>
    <x v="0"/>
    <n v="47000"/>
    <n v="1.3"/>
    <n v="136"/>
    <x v="0"/>
    <x v="0"/>
    <n v="13"/>
    <x v="1"/>
    <s v="Critical"/>
  </r>
  <r>
    <n v="82"/>
    <x v="0"/>
    <n v="70"/>
    <x v="0"/>
    <n v="30"/>
    <x v="0"/>
    <n v="200000"/>
    <n v="1.2"/>
    <n v="132"/>
    <x v="0"/>
    <x v="1"/>
    <n v="26"/>
    <x v="1"/>
    <s v="Critical"/>
  </r>
  <r>
    <n v="82"/>
    <x v="1"/>
    <n v="855"/>
    <x v="0"/>
    <n v="50"/>
    <x v="1"/>
    <n v="321000"/>
    <n v="1"/>
    <n v="145"/>
    <x v="1"/>
    <x v="0"/>
    <n v="30"/>
    <x v="1"/>
    <s v="Critical"/>
  </r>
  <r>
    <n v="85"/>
    <x v="0"/>
    <n v="23"/>
    <x v="1"/>
    <n v="45"/>
    <x v="0"/>
    <n v="360000"/>
    <n v="3"/>
    <n v="132"/>
    <x v="0"/>
    <x v="0"/>
    <n v="28"/>
    <x v="1"/>
    <s v="Critical"/>
  </r>
  <r>
    <n v="85"/>
    <x v="0"/>
    <n v="5882"/>
    <x v="1"/>
    <n v="35"/>
    <x v="0"/>
    <n v="243000"/>
    <n v="1"/>
    <n v="132"/>
    <x v="0"/>
    <x v="1"/>
    <n v="72"/>
    <x v="1"/>
    <s v="Under Obs"/>
  </r>
  <r>
    <n v="85"/>
    <x v="0"/>
    <n v="129"/>
    <x v="1"/>
    <n v="60"/>
    <x v="0"/>
    <n v="306000"/>
    <n v="1.2"/>
    <n v="132"/>
    <x v="0"/>
    <x v="1"/>
    <n v="90"/>
    <x v="1"/>
    <s v="Under Obs"/>
  </r>
  <r>
    <n v="85"/>
    <x v="1"/>
    <n v="102"/>
    <x v="1"/>
    <n v="60"/>
    <x v="0"/>
    <n v="507000"/>
    <n v="3.2"/>
    <n v="138"/>
    <x v="1"/>
    <x v="0"/>
    <n v="94"/>
    <x v="0"/>
    <s v="Under Obs"/>
  </r>
  <r>
    <n v="85"/>
    <x v="1"/>
    <n v="910"/>
    <x v="1"/>
    <n v="50"/>
    <x v="0"/>
    <n v="235000"/>
    <n v="1.3"/>
    <n v="134"/>
    <x v="0"/>
    <x v="0"/>
    <n v="121"/>
    <x v="0"/>
    <s v="Normal"/>
  </r>
  <r>
    <n v="85"/>
    <x v="0"/>
    <n v="212"/>
    <x v="1"/>
    <n v="38"/>
    <x v="0"/>
    <n v="186000"/>
    <n v="0.9"/>
    <n v="136"/>
    <x v="0"/>
    <x v="0"/>
    <n v="187"/>
    <x v="0"/>
    <s v="Normal"/>
  </r>
  <r>
    <n v="86"/>
    <x v="0"/>
    <n v="582"/>
    <x v="1"/>
    <n v="38"/>
    <x v="0"/>
    <n v="263358.03000000003"/>
    <n v="1.83"/>
    <n v="134"/>
    <x v="1"/>
    <x v="0"/>
    <n v="95"/>
    <x v="1"/>
    <s v="Under Obs"/>
  </r>
  <r>
    <n v="87"/>
    <x v="1"/>
    <n v="149"/>
    <x v="1"/>
    <n v="38"/>
    <x v="0"/>
    <n v="262000"/>
    <n v="0.9"/>
    <n v="140"/>
    <x v="0"/>
    <x v="0"/>
    <n v="14"/>
    <x v="1"/>
    <s v="Critical"/>
  </r>
  <r>
    <n v="90"/>
    <x v="1"/>
    <n v="47"/>
    <x v="1"/>
    <n v="40"/>
    <x v="1"/>
    <n v="204000"/>
    <n v="2.1"/>
    <n v="132"/>
    <x v="0"/>
    <x v="1"/>
    <n v="8"/>
    <x v="1"/>
    <s v="Critical"/>
  </r>
  <r>
    <n v="90"/>
    <x v="1"/>
    <n v="60"/>
    <x v="0"/>
    <n v="50"/>
    <x v="0"/>
    <n v="226000"/>
    <n v="1"/>
    <n v="134"/>
    <x v="0"/>
    <x v="0"/>
    <n v="30"/>
    <x v="1"/>
    <s v="Critical"/>
  </r>
  <r>
    <n v="90"/>
    <x v="1"/>
    <n v="337"/>
    <x v="1"/>
    <n v="38"/>
    <x v="0"/>
    <n v="390000"/>
    <n v="0.9"/>
    <n v="144"/>
    <x v="1"/>
    <x v="0"/>
    <n v="256"/>
    <x v="0"/>
    <s v="Normal"/>
  </r>
  <r>
    <n v="94"/>
    <x v="0"/>
    <n v="582"/>
    <x v="0"/>
    <n v="38"/>
    <x v="1"/>
    <n v="263358.03000000003"/>
    <n v="1.83"/>
    <n v="134"/>
    <x v="0"/>
    <x v="0"/>
    <n v="27"/>
    <x v="1"/>
    <s v="Critical"/>
  </r>
  <r>
    <n v="95"/>
    <x v="1"/>
    <n v="112"/>
    <x v="1"/>
    <n v="40"/>
    <x v="1"/>
    <n v="196000"/>
    <n v="1"/>
    <n v="138"/>
    <x v="1"/>
    <x v="0"/>
    <n v="24"/>
    <x v="1"/>
    <s v="Critical"/>
  </r>
  <r>
    <n v="95"/>
    <x v="1"/>
    <n v="371"/>
    <x v="1"/>
    <n v="30"/>
    <x v="0"/>
    <n v="461000"/>
    <n v="2"/>
    <n v="132"/>
    <x v="0"/>
    <x v="0"/>
    <n v="50"/>
    <x v="1"/>
    <s v="Critic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07B901-36A8-4DAC-B390-81D6A4C913C1}" name="PivotTable1"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3:H6" firstHeaderRow="0" firstDataRow="1" firstDataCol="1"/>
  <pivotFields count="14">
    <pivotField dataField="1" numFmtId="1" showAll="0"/>
    <pivotField showAll="0">
      <items count="3">
        <item x="0"/>
        <item x="1"/>
        <item t="default"/>
      </items>
    </pivotField>
    <pivotField numFmtId="1" showAll="0"/>
    <pivotField showAll="0">
      <items count="3">
        <item x="1"/>
        <item x="0"/>
        <item t="default"/>
      </items>
    </pivotField>
    <pivotField dataField="1" numFmtId="1" showAll="0"/>
    <pivotField showAll="0">
      <items count="3">
        <item x="0"/>
        <item x="1"/>
        <item t="default"/>
      </items>
    </pivotField>
    <pivotField dataField="1" numFmtId="1" showAll="0"/>
    <pivotField numFmtId="166" showAll="0"/>
    <pivotField numFmtId="1" showAll="0"/>
    <pivotField showAll="0">
      <items count="3">
        <item x="1"/>
        <item x="0"/>
        <item t="default"/>
      </items>
    </pivotField>
    <pivotField showAll="0">
      <items count="3">
        <item x="0"/>
        <item x="1"/>
        <item t="default"/>
      </items>
    </pivotField>
    <pivotField dataField="1" numFmtId="1" showAll="0"/>
    <pivotField axis="axisRow" showAll="0">
      <items count="3">
        <item x="0"/>
        <item x="1"/>
        <item t="default"/>
      </items>
    </pivotField>
    <pivotField dataField="1" showAll="0"/>
  </pivotFields>
  <rowFields count="1">
    <field x="12"/>
  </rowFields>
  <rowItems count="3">
    <i>
      <x/>
    </i>
    <i>
      <x v="1"/>
    </i>
    <i t="grand">
      <x/>
    </i>
  </rowItems>
  <colFields count="1">
    <field x="-2"/>
  </colFields>
  <colItems count="5">
    <i>
      <x/>
    </i>
    <i i="1">
      <x v="1"/>
    </i>
    <i i="2">
      <x v="2"/>
    </i>
    <i i="3">
      <x v="3"/>
    </i>
    <i i="4">
      <x v="4"/>
    </i>
  </colItems>
  <dataFields count="5">
    <dataField name="Count of Status" fld="13" subtotal="count" baseField="0" baseItem="0"/>
    <dataField name="Average of age" fld="0" subtotal="average" baseField="12" baseItem="0"/>
    <dataField name="Average of ejection_fraction" fld="4" subtotal="average" baseField="12" baseItem="0"/>
    <dataField name="Average of platelets" fld="6" subtotal="average" baseField="12" baseItem="0" numFmtId="168"/>
    <dataField name="Average of time" fld="11" subtotal="average" baseField="12" baseItem="0"/>
  </dataFields>
  <formats count="2">
    <format dxfId="0">
      <pivotArea outline="0" collapsedLevelsAreSubtotals="1" fieldPosition="0"/>
    </format>
    <format dxfId="1">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aemia" xr10:uid="{E8C4C55F-DA0C-44DC-A9FA-C4690A3BD9DB}" sourceName="anaemia">
  <pivotTables>
    <pivotTable tabId="4" name="PivotTable1"/>
  </pivotTables>
  <data>
    <tabular pivotCacheId="92799771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betes" xr10:uid="{052CBD70-E4C5-46EE-8544-47D44CAE133C}" sourceName="diabetes">
  <pivotTables>
    <pivotTable tabId="4" name="PivotTable1"/>
  </pivotTables>
  <data>
    <tabular pivotCacheId="9279977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gh_blood_pressure" xr10:uid="{79DDC3DA-759E-455F-8155-0ACF701663A5}" sourceName="high_blood_pressure">
  <pivotTables>
    <pivotTable tabId="4" name="PivotTable1"/>
  </pivotTables>
  <data>
    <tabular pivotCacheId="927997714">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oking" xr10:uid="{5061C282-4248-41DE-8479-0B279A621165}" sourceName="smoking">
  <pivotTables>
    <pivotTable tabId="4" name="PivotTable1"/>
  </pivotTables>
  <data>
    <tabular pivotCacheId="927997714">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FE1AEF67-ACC6-4908-BD04-3ED49FB20CE3}" sourceName="sex">
  <pivotTables>
    <pivotTable tabId="4" name="PivotTable1"/>
  </pivotTables>
  <data>
    <tabular pivotCacheId="927997714">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aemia" xr10:uid="{B4F2F01E-D5DA-4194-A9C2-74F2029E0B5B}" cache="Slicer_anaemia" caption="anaemia" style="SlicerStyleLight2" rowHeight="234950"/>
  <slicer name="diabetes" xr10:uid="{BC2051D4-A72D-4446-85C4-DDABE77DAFCB}" cache="Slicer_diabetes" caption="diabetes" style="SlicerStyleLight6" rowHeight="234950"/>
  <slicer name="high_blood_pressure" xr10:uid="{B3CD9513-61ED-42B7-B865-A7F15AE9C67C}" cache="Slicer_high_blood_pressure" caption="high_blood_pressure" style="SlicerStyleLight4" rowHeight="234950"/>
  <slicer name="smoking" xr10:uid="{AC6E91D7-BFB3-4BA8-8508-CFF6FDE67EF4}" cache="Slicer_smoking" caption="smoking" style="SlicerStyleOther1" rowHeight="234950"/>
  <slicer name="sex" xr10:uid="{BCB0D129-46E0-4F23-A1B1-5894F47E9B34}" cache="Slicer_sex" caption="sex"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64E4AC-CAF1-4DBE-8498-B0EEEAF6029B}" name="Table1" displayName="Table1" ref="A1:N301" totalsRowShown="0">
  <autoFilter ref="A1:N301" xr:uid="{07802C26-89B4-477F-9202-EE5C345BB803}"/>
  <sortState xmlns:xlrd2="http://schemas.microsoft.com/office/spreadsheetml/2017/richdata2" ref="A2:M301">
    <sortCondition ref="A2:A301"/>
  </sortState>
  <tableColumns count="14">
    <tableColumn id="1" xr3:uid="{E39232F2-BF96-4D16-A850-1E6D407FCDFF}" name="age" dataDxfId="9"/>
    <tableColumn id="2" xr3:uid="{749C9BDD-B3A8-4D19-B626-5E7317D33CD5}" name="anaemia"/>
    <tableColumn id="3" xr3:uid="{B97419A4-0BC9-4428-B8C7-659BD3B2578E}" name="creatinine_phosphokinase" dataDxfId="8"/>
    <tableColumn id="4" xr3:uid="{0E97CD00-8A86-4711-99D3-A24EF6FD1446}" name="diabetes"/>
    <tableColumn id="5" xr3:uid="{0C62EC79-D73E-48E3-9798-9DC4D9BAF34D}" name="ejection_fraction" dataDxfId="7"/>
    <tableColumn id="6" xr3:uid="{F2DA2D68-65ED-4FA5-A452-60546FA503D6}" name="high_blood_pressure"/>
    <tableColumn id="7" xr3:uid="{F018B5D8-EEC6-4DCD-B3E4-92C42E92732B}" name="platelets" dataDxfId="6"/>
    <tableColumn id="8" xr3:uid="{EA8CAD92-0142-4E2F-89E3-C4FE0FD17758}" name="serum_creatinine" dataDxfId="5"/>
    <tableColumn id="9" xr3:uid="{0593794A-632F-477F-8B9B-3A3324E85520}" name="serum_sodium" dataDxfId="4"/>
    <tableColumn id="10" xr3:uid="{95F93F29-7EBE-4260-88E7-15A4E0758E3C}" name="sex"/>
    <tableColumn id="11" xr3:uid="{6E672E6D-D82C-4541-8132-6925A19F0435}" name="smoking"/>
    <tableColumn id="12" xr3:uid="{DECF38CF-9259-4DD2-889F-A53C2FBBA19B}" name="time" dataDxfId="3"/>
    <tableColumn id="13" xr3:uid="{B673F764-8E45-4F6A-828F-A9563F59DA34}" name="DEATH_EVENT"/>
    <tableColumn id="14" xr3:uid="{86E96C9C-4B02-462F-A27D-342F2A46B48E}" name="Status" dataDxfId="2">
      <calculatedColumnFormula>IF(Table1[[#This Row],[time]]&lt;60, "Critical", IF(Table1[[#This Row],[time]]&lt;120,"Under Obs","Normal"))</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01"/>
  <sheetViews>
    <sheetView showGridLines="0" workbookViewId="0">
      <selection activeCell="N1" sqref="N1:N1048576"/>
    </sheetView>
  </sheetViews>
  <sheetFormatPr defaultRowHeight="14.4" x14ac:dyDescent="0.3"/>
  <cols>
    <col min="1" max="1" width="8.88671875" style="2"/>
    <col min="2" max="2" width="10.109375" customWidth="1"/>
    <col min="3" max="3" width="25" style="2" customWidth="1"/>
    <col min="4" max="4" width="10" customWidth="1"/>
    <col min="5" max="5" width="17.21875" style="2" customWidth="1"/>
    <col min="6" max="6" width="20.5546875" customWidth="1"/>
    <col min="7" max="7" width="10" style="2" customWidth="1"/>
    <col min="8" max="8" width="17.44140625" style="1" customWidth="1"/>
    <col min="9" max="9" width="15.33203125" style="2" customWidth="1"/>
    <col min="11" max="11" width="10" customWidth="1"/>
    <col min="12" max="12" width="8.88671875" style="2"/>
    <col min="13" max="13" width="15.109375" customWidth="1"/>
    <col min="14" max="14" width="9.5546875" bestFit="1" customWidth="1"/>
  </cols>
  <sheetData>
    <row r="1" spans="1:14" x14ac:dyDescent="0.3">
      <c r="A1" s="2" t="s">
        <v>0</v>
      </c>
      <c r="B1" t="s">
        <v>1</v>
      </c>
      <c r="C1" s="2" t="s">
        <v>2</v>
      </c>
      <c r="D1" t="s">
        <v>3</v>
      </c>
      <c r="E1" s="2" t="s">
        <v>4</v>
      </c>
      <c r="F1" t="s">
        <v>5</v>
      </c>
      <c r="G1" s="2" t="s">
        <v>6</v>
      </c>
      <c r="H1" s="1" t="s">
        <v>7</v>
      </c>
      <c r="I1" s="2" t="s">
        <v>8</v>
      </c>
      <c r="J1" t="s">
        <v>9</v>
      </c>
      <c r="K1" t="s">
        <v>10</v>
      </c>
      <c r="L1" s="2" t="s">
        <v>11</v>
      </c>
      <c r="M1" t="s">
        <v>12</v>
      </c>
      <c r="N1" t="s">
        <v>13</v>
      </c>
    </row>
    <row r="2" spans="1:14" x14ac:dyDescent="0.3">
      <c r="A2" s="2">
        <v>40</v>
      </c>
      <c r="B2">
        <v>0</v>
      </c>
      <c r="C2" s="2">
        <v>478</v>
      </c>
      <c r="D2">
        <v>1</v>
      </c>
      <c r="E2" s="2">
        <v>30</v>
      </c>
      <c r="F2">
        <v>0</v>
      </c>
      <c r="G2" s="2">
        <v>303000</v>
      </c>
      <c r="H2" s="1">
        <v>0.9</v>
      </c>
      <c r="I2" s="2">
        <v>136</v>
      </c>
      <c r="J2">
        <v>1</v>
      </c>
      <c r="K2">
        <v>0</v>
      </c>
      <c r="L2" s="2">
        <v>148</v>
      </c>
      <c r="M2">
        <v>0</v>
      </c>
      <c r="N2" t="str">
        <f>IF(Table1[[#This Row],[time]]&lt;60, "Critical", IF(Table1[[#This Row],[time]]&lt;120,"Under Obs","Normal"))</f>
        <v>Normal</v>
      </c>
    </row>
    <row r="3" spans="1:14" x14ac:dyDescent="0.3">
      <c r="A3" s="2">
        <v>40</v>
      </c>
      <c r="B3">
        <v>0</v>
      </c>
      <c r="C3" s="2">
        <v>244</v>
      </c>
      <c r="D3">
        <v>0</v>
      </c>
      <c r="E3" s="2">
        <v>45</v>
      </c>
      <c r="F3">
        <v>1</v>
      </c>
      <c r="G3" s="2">
        <v>275000</v>
      </c>
      <c r="H3" s="1">
        <v>0.9</v>
      </c>
      <c r="I3" s="2">
        <v>140</v>
      </c>
      <c r="J3">
        <v>0</v>
      </c>
      <c r="K3">
        <v>0</v>
      </c>
      <c r="L3" s="2">
        <v>174</v>
      </c>
      <c r="M3">
        <v>0</v>
      </c>
      <c r="N3" t="str">
        <f>IF(Table1[[#This Row],[time]]&lt;60, "Critical", IF(Table1[[#This Row],[time]]&lt;120,"Under Obs","Normal"))</f>
        <v>Normal</v>
      </c>
    </row>
    <row r="4" spans="1:14" x14ac:dyDescent="0.3">
      <c r="A4" s="2">
        <v>40</v>
      </c>
      <c r="B4">
        <v>1</v>
      </c>
      <c r="C4" s="2">
        <v>101</v>
      </c>
      <c r="D4">
        <v>0</v>
      </c>
      <c r="E4" s="2">
        <v>40</v>
      </c>
      <c r="F4">
        <v>0</v>
      </c>
      <c r="G4" s="2">
        <v>226000</v>
      </c>
      <c r="H4" s="1">
        <v>0.8</v>
      </c>
      <c r="I4" s="2">
        <v>141</v>
      </c>
      <c r="J4">
        <v>0</v>
      </c>
      <c r="K4">
        <v>0</v>
      </c>
      <c r="L4" s="2">
        <v>187</v>
      </c>
      <c r="M4">
        <v>0</v>
      </c>
      <c r="N4" t="str">
        <f>IF(Table1[[#This Row],[time]]&lt;60, "Critical", IF(Table1[[#This Row],[time]]&lt;120,"Under Obs","Normal"))</f>
        <v>Normal</v>
      </c>
    </row>
    <row r="5" spans="1:14" x14ac:dyDescent="0.3">
      <c r="A5" s="2">
        <v>40</v>
      </c>
      <c r="B5">
        <v>1</v>
      </c>
      <c r="C5" s="2">
        <v>129</v>
      </c>
      <c r="D5">
        <v>0</v>
      </c>
      <c r="E5" s="2">
        <v>35</v>
      </c>
      <c r="F5">
        <v>0</v>
      </c>
      <c r="G5" s="2">
        <v>255000</v>
      </c>
      <c r="H5" s="1">
        <v>0.9</v>
      </c>
      <c r="I5" s="2">
        <v>137</v>
      </c>
      <c r="J5">
        <v>1</v>
      </c>
      <c r="K5">
        <v>0</v>
      </c>
      <c r="L5" s="2">
        <v>209</v>
      </c>
      <c r="M5">
        <v>0</v>
      </c>
      <c r="N5" t="str">
        <f>IF(Table1[[#This Row],[time]]&lt;60, "Critical", IF(Table1[[#This Row],[time]]&lt;120,"Under Obs","Normal"))</f>
        <v>Normal</v>
      </c>
    </row>
    <row r="6" spans="1:14" x14ac:dyDescent="0.3">
      <c r="A6" s="2">
        <v>40</v>
      </c>
      <c r="B6">
        <v>0</v>
      </c>
      <c r="C6" s="2">
        <v>90</v>
      </c>
      <c r="D6">
        <v>0</v>
      </c>
      <c r="E6" s="2">
        <v>35</v>
      </c>
      <c r="F6">
        <v>0</v>
      </c>
      <c r="G6" s="2">
        <v>255000</v>
      </c>
      <c r="H6" s="1">
        <v>1.1000000000000001</v>
      </c>
      <c r="I6" s="2">
        <v>136</v>
      </c>
      <c r="J6">
        <v>1</v>
      </c>
      <c r="K6">
        <v>1</v>
      </c>
      <c r="L6" s="2">
        <v>212</v>
      </c>
      <c r="M6">
        <v>0</v>
      </c>
      <c r="N6" t="str">
        <f>IF(Table1[[#This Row],[time]]&lt;60, "Critical", IF(Table1[[#This Row],[time]]&lt;120,"Under Obs","Normal"))</f>
        <v>Normal</v>
      </c>
    </row>
    <row r="7" spans="1:14" x14ac:dyDescent="0.3">
      <c r="A7" s="2">
        <v>40</v>
      </c>
      <c r="B7">
        <v>0</v>
      </c>
      <c r="C7" s="2">
        <v>624</v>
      </c>
      <c r="D7">
        <v>0</v>
      </c>
      <c r="E7" s="2">
        <v>35</v>
      </c>
      <c r="F7">
        <v>0</v>
      </c>
      <c r="G7" s="2">
        <v>301000</v>
      </c>
      <c r="H7" s="1">
        <v>1</v>
      </c>
      <c r="I7" s="2">
        <v>142</v>
      </c>
      <c r="J7">
        <v>1</v>
      </c>
      <c r="K7">
        <v>1</v>
      </c>
      <c r="L7" s="2">
        <v>214</v>
      </c>
      <c r="M7">
        <v>0</v>
      </c>
      <c r="N7" t="str">
        <f>IF(Table1[[#This Row],[time]]&lt;60, "Critical", IF(Table1[[#This Row],[time]]&lt;120,"Under Obs","Normal"))</f>
        <v>Normal</v>
      </c>
    </row>
    <row r="8" spans="1:14" x14ac:dyDescent="0.3">
      <c r="A8" s="2">
        <v>40</v>
      </c>
      <c r="B8">
        <v>0</v>
      </c>
      <c r="C8" s="2">
        <v>582</v>
      </c>
      <c r="D8">
        <v>1</v>
      </c>
      <c r="E8" s="2">
        <v>35</v>
      </c>
      <c r="F8">
        <v>0</v>
      </c>
      <c r="G8" s="2">
        <v>222000</v>
      </c>
      <c r="H8" s="1">
        <v>1</v>
      </c>
      <c r="I8" s="2">
        <v>132</v>
      </c>
      <c r="J8">
        <v>1</v>
      </c>
      <c r="K8">
        <v>0</v>
      </c>
      <c r="L8" s="2">
        <v>244</v>
      </c>
      <c r="M8">
        <v>0</v>
      </c>
      <c r="N8" t="str">
        <f>IF(Table1[[#This Row],[time]]&lt;60, "Critical", IF(Table1[[#This Row],[time]]&lt;120,"Under Obs","Normal"))</f>
        <v>Normal</v>
      </c>
    </row>
    <row r="9" spans="1:14" x14ac:dyDescent="0.3">
      <c r="A9" s="2">
        <v>41</v>
      </c>
      <c r="B9">
        <v>0</v>
      </c>
      <c r="C9" s="2">
        <v>148</v>
      </c>
      <c r="D9">
        <v>0</v>
      </c>
      <c r="E9" s="2">
        <v>40</v>
      </c>
      <c r="F9">
        <v>0</v>
      </c>
      <c r="G9" s="2">
        <v>374000</v>
      </c>
      <c r="H9" s="1">
        <v>0.8</v>
      </c>
      <c r="I9" s="2">
        <v>140</v>
      </c>
      <c r="J9">
        <v>1</v>
      </c>
      <c r="K9">
        <v>1</v>
      </c>
      <c r="L9" s="2">
        <v>68</v>
      </c>
      <c r="M9">
        <v>0</v>
      </c>
      <c r="N9" t="str">
        <f>IF(Table1[[#This Row],[time]]&lt;60, "Critical", IF(Table1[[#This Row],[time]]&lt;120,"Under Obs","Normal"))</f>
        <v>Under Obs</v>
      </c>
    </row>
    <row r="10" spans="1:14" x14ac:dyDescent="0.3">
      <c r="A10" s="2">
        <v>42</v>
      </c>
      <c r="B10">
        <v>1</v>
      </c>
      <c r="C10" s="2">
        <v>250</v>
      </c>
      <c r="D10">
        <v>1</v>
      </c>
      <c r="E10" s="2">
        <v>15</v>
      </c>
      <c r="F10">
        <v>0</v>
      </c>
      <c r="G10" s="2">
        <v>213000</v>
      </c>
      <c r="H10" s="1">
        <v>1.3</v>
      </c>
      <c r="I10" s="2">
        <v>136</v>
      </c>
      <c r="J10">
        <v>0</v>
      </c>
      <c r="K10">
        <v>0</v>
      </c>
      <c r="L10" s="2">
        <v>65</v>
      </c>
      <c r="M10">
        <v>1</v>
      </c>
      <c r="N10" t="str">
        <f>IF(Table1[[#This Row],[time]]&lt;60, "Critical", IF(Table1[[#This Row],[time]]&lt;120,"Under Obs","Normal"))</f>
        <v>Under Obs</v>
      </c>
    </row>
    <row r="11" spans="1:14" x14ac:dyDescent="0.3">
      <c r="A11" s="2">
        <v>42</v>
      </c>
      <c r="B11">
        <v>0</v>
      </c>
      <c r="C11" s="2">
        <v>102</v>
      </c>
      <c r="D11">
        <v>1</v>
      </c>
      <c r="E11" s="2">
        <v>40</v>
      </c>
      <c r="F11">
        <v>0</v>
      </c>
      <c r="G11" s="2">
        <v>237000</v>
      </c>
      <c r="H11" s="1">
        <v>1.2</v>
      </c>
      <c r="I11" s="2">
        <v>140</v>
      </c>
      <c r="J11">
        <v>1</v>
      </c>
      <c r="K11">
        <v>0</v>
      </c>
      <c r="L11" s="2">
        <v>74</v>
      </c>
      <c r="M11">
        <v>0</v>
      </c>
      <c r="N11" t="str">
        <f>IF(Table1[[#This Row],[time]]&lt;60, "Critical", IF(Table1[[#This Row],[time]]&lt;120,"Under Obs","Normal"))</f>
        <v>Under Obs</v>
      </c>
    </row>
    <row r="12" spans="1:14" x14ac:dyDescent="0.3">
      <c r="A12" s="2">
        <v>42</v>
      </c>
      <c r="B12">
        <v>0</v>
      </c>
      <c r="C12" s="2">
        <v>582</v>
      </c>
      <c r="D12">
        <v>0</v>
      </c>
      <c r="E12" s="2">
        <v>60</v>
      </c>
      <c r="F12">
        <v>0</v>
      </c>
      <c r="G12" s="2">
        <v>263358.03000000003</v>
      </c>
      <c r="H12" s="1">
        <v>1.18</v>
      </c>
      <c r="I12" s="2">
        <v>137</v>
      </c>
      <c r="J12">
        <v>0</v>
      </c>
      <c r="K12">
        <v>0</v>
      </c>
      <c r="L12" s="2">
        <v>82</v>
      </c>
      <c r="M12">
        <v>0</v>
      </c>
      <c r="N12" t="str">
        <f>IF(Table1[[#This Row],[time]]&lt;60, "Critical", IF(Table1[[#This Row],[time]]&lt;120,"Under Obs","Normal"))</f>
        <v>Under Obs</v>
      </c>
    </row>
    <row r="13" spans="1:14" x14ac:dyDescent="0.3">
      <c r="A13" s="2">
        <v>42</v>
      </c>
      <c r="B13">
        <v>0</v>
      </c>
      <c r="C13" s="2">
        <v>5209</v>
      </c>
      <c r="D13">
        <v>0</v>
      </c>
      <c r="E13" s="2">
        <v>30</v>
      </c>
      <c r="F13">
        <v>0</v>
      </c>
      <c r="G13" s="2">
        <v>226000</v>
      </c>
      <c r="H13" s="1">
        <v>1</v>
      </c>
      <c r="I13" s="2">
        <v>140</v>
      </c>
      <c r="J13">
        <v>1</v>
      </c>
      <c r="K13">
        <v>1</v>
      </c>
      <c r="L13" s="2">
        <v>87</v>
      </c>
      <c r="M13">
        <v>0</v>
      </c>
      <c r="N13" t="str">
        <f>IF(Table1[[#This Row],[time]]&lt;60, "Critical", IF(Table1[[#This Row],[time]]&lt;120,"Under Obs","Normal"))</f>
        <v>Under Obs</v>
      </c>
    </row>
    <row r="14" spans="1:14" x14ac:dyDescent="0.3">
      <c r="A14" s="2">
        <v>42</v>
      </c>
      <c r="B14">
        <v>1</v>
      </c>
      <c r="C14" s="2">
        <v>86</v>
      </c>
      <c r="D14">
        <v>0</v>
      </c>
      <c r="E14" s="2">
        <v>35</v>
      </c>
      <c r="F14">
        <v>0</v>
      </c>
      <c r="G14" s="2">
        <v>365000</v>
      </c>
      <c r="H14" s="1">
        <v>1.1000000000000001</v>
      </c>
      <c r="I14" s="2">
        <v>139</v>
      </c>
      <c r="J14">
        <v>1</v>
      </c>
      <c r="K14">
        <v>1</v>
      </c>
      <c r="L14" s="2">
        <v>201</v>
      </c>
      <c r="M14">
        <v>0</v>
      </c>
      <c r="N14" t="str">
        <f>IF(Table1[[#This Row],[time]]&lt;60, "Critical", IF(Table1[[#This Row],[time]]&lt;120,"Under Obs","Normal"))</f>
        <v>Normal</v>
      </c>
    </row>
    <row r="15" spans="1:14" x14ac:dyDescent="0.3">
      <c r="A15" s="2">
        <v>42</v>
      </c>
      <c r="B15">
        <v>0</v>
      </c>
      <c r="C15" s="2">
        <v>64</v>
      </c>
      <c r="D15">
        <v>0</v>
      </c>
      <c r="E15" s="2">
        <v>40</v>
      </c>
      <c r="F15">
        <v>0</v>
      </c>
      <c r="G15" s="2">
        <v>189000</v>
      </c>
      <c r="H15" s="1">
        <v>0.7</v>
      </c>
      <c r="I15" s="2">
        <v>140</v>
      </c>
      <c r="J15">
        <v>1</v>
      </c>
      <c r="K15">
        <v>0</v>
      </c>
      <c r="L15" s="2">
        <v>245</v>
      </c>
      <c r="M15">
        <v>0</v>
      </c>
      <c r="N15" t="str">
        <f>IF(Table1[[#This Row],[time]]&lt;60, "Critical", IF(Table1[[#This Row],[time]]&lt;120,"Under Obs","Normal"))</f>
        <v>Normal</v>
      </c>
    </row>
    <row r="16" spans="1:14" x14ac:dyDescent="0.3">
      <c r="A16" s="2">
        <v>42</v>
      </c>
      <c r="B16">
        <v>0</v>
      </c>
      <c r="C16" s="2">
        <v>64</v>
      </c>
      <c r="D16">
        <v>0</v>
      </c>
      <c r="E16" s="2">
        <v>30</v>
      </c>
      <c r="F16">
        <v>0</v>
      </c>
      <c r="G16" s="2">
        <v>215000</v>
      </c>
      <c r="H16" s="1">
        <v>3.8</v>
      </c>
      <c r="I16" s="2">
        <v>128</v>
      </c>
      <c r="J16">
        <v>1</v>
      </c>
      <c r="K16">
        <v>1</v>
      </c>
      <c r="L16" s="2">
        <v>250</v>
      </c>
      <c r="M16">
        <v>0</v>
      </c>
      <c r="N16" t="str">
        <f>IF(Table1[[#This Row],[time]]&lt;60, "Critical", IF(Table1[[#This Row],[time]]&lt;120,"Under Obs","Normal"))</f>
        <v>Normal</v>
      </c>
    </row>
    <row r="17" spans="1:14" x14ac:dyDescent="0.3">
      <c r="A17" s="2">
        <v>43</v>
      </c>
      <c r="B17">
        <v>1</v>
      </c>
      <c r="C17" s="2">
        <v>358</v>
      </c>
      <c r="D17">
        <v>0</v>
      </c>
      <c r="E17" s="2">
        <v>50</v>
      </c>
      <c r="F17">
        <v>0</v>
      </c>
      <c r="G17" s="2">
        <v>237000</v>
      </c>
      <c r="H17" s="1">
        <v>1.3</v>
      </c>
      <c r="I17" s="2">
        <v>135</v>
      </c>
      <c r="J17">
        <v>0</v>
      </c>
      <c r="K17">
        <v>0</v>
      </c>
      <c r="L17" s="2">
        <v>97</v>
      </c>
      <c r="M17">
        <v>0</v>
      </c>
      <c r="N17" t="str">
        <f>IF(Table1[[#This Row],[time]]&lt;60, "Critical", IF(Table1[[#This Row],[time]]&lt;120,"Under Obs","Normal"))</f>
        <v>Under Obs</v>
      </c>
    </row>
    <row r="18" spans="1:14" x14ac:dyDescent="0.3">
      <c r="A18" s="2">
        <v>44</v>
      </c>
      <c r="B18">
        <v>0</v>
      </c>
      <c r="C18" s="2">
        <v>84</v>
      </c>
      <c r="D18">
        <v>1</v>
      </c>
      <c r="E18" s="2">
        <v>40</v>
      </c>
      <c r="F18">
        <v>1</v>
      </c>
      <c r="G18" s="2">
        <v>235000</v>
      </c>
      <c r="H18" s="1">
        <v>0.7</v>
      </c>
      <c r="I18" s="2">
        <v>139</v>
      </c>
      <c r="J18">
        <v>1</v>
      </c>
      <c r="K18">
        <v>0</v>
      </c>
      <c r="L18" s="2">
        <v>79</v>
      </c>
      <c r="M18">
        <v>0</v>
      </c>
      <c r="N18" t="str">
        <f>IF(Table1[[#This Row],[time]]&lt;60, "Critical", IF(Table1[[#This Row],[time]]&lt;120,"Under Obs","Normal"))</f>
        <v>Under Obs</v>
      </c>
    </row>
    <row r="19" spans="1:14" x14ac:dyDescent="0.3">
      <c r="A19" s="2">
        <v>44</v>
      </c>
      <c r="B19">
        <v>0</v>
      </c>
      <c r="C19" s="2">
        <v>582</v>
      </c>
      <c r="D19">
        <v>1</v>
      </c>
      <c r="E19" s="2">
        <v>30</v>
      </c>
      <c r="F19">
        <v>1</v>
      </c>
      <c r="G19" s="2">
        <v>263358.03000000003</v>
      </c>
      <c r="H19" s="1">
        <v>1.6</v>
      </c>
      <c r="I19" s="2">
        <v>130</v>
      </c>
      <c r="J19">
        <v>1</v>
      </c>
      <c r="K19">
        <v>1</v>
      </c>
      <c r="L19" s="2">
        <v>244</v>
      </c>
      <c r="M19">
        <v>0</v>
      </c>
      <c r="N19" t="str">
        <f>IF(Table1[[#This Row],[time]]&lt;60, "Critical", IF(Table1[[#This Row],[time]]&lt;120,"Under Obs","Normal"))</f>
        <v>Normal</v>
      </c>
    </row>
    <row r="20" spans="1:14" x14ac:dyDescent="0.3">
      <c r="A20" s="2">
        <v>45</v>
      </c>
      <c r="B20">
        <v>1</v>
      </c>
      <c r="C20" s="2">
        <v>981</v>
      </c>
      <c r="D20">
        <v>0</v>
      </c>
      <c r="E20" s="2">
        <v>30</v>
      </c>
      <c r="F20">
        <v>0</v>
      </c>
      <c r="G20" s="2">
        <v>136000</v>
      </c>
      <c r="H20" s="1">
        <v>1.1000000000000001</v>
      </c>
      <c r="I20" s="2">
        <v>137</v>
      </c>
      <c r="J20">
        <v>1</v>
      </c>
      <c r="K20">
        <v>0</v>
      </c>
      <c r="L20" s="2">
        <v>11</v>
      </c>
      <c r="M20">
        <v>1</v>
      </c>
      <c r="N20" t="str">
        <f>IF(Table1[[#This Row],[time]]&lt;60, "Critical", IF(Table1[[#This Row],[time]]&lt;120,"Under Obs","Normal"))</f>
        <v>Critical</v>
      </c>
    </row>
    <row r="21" spans="1:14" x14ac:dyDescent="0.3">
      <c r="A21" s="2">
        <v>45</v>
      </c>
      <c r="B21">
        <v>0</v>
      </c>
      <c r="C21" s="2">
        <v>582</v>
      </c>
      <c r="D21">
        <v>0</v>
      </c>
      <c r="E21" s="2">
        <v>14</v>
      </c>
      <c r="F21">
        <v>0</v>
      </c>
      <c r="G21" s="2">
        <v>166000</v>
      </c>
      <c r="H21" s="1">
        <v>0.8</v>
      </c>
      <c r="I21" s="2">
        <v>127</v>
      </c>
      <c r="J21">
        <v>1</v>
      </c>
      <c r="K21">
        <v>0</v>
      </c>
      <c r="L21" s="2">
        <v>14</v>
      </c>
      <c r="M21">
        <v>1</v>
      </c>
      <c r="N21" t="str">
        <f>IF(Table1[[#This Row],[time]]&lt;60, "Critical", IF(Table1[[#This Row],[time]]&lt;120,"Under Obs","Normal"))</f>
        <v>Critical</v>
      </c>
    </row>
    <row r="22" spans="1:14" x14ac:dyDescent="0.3">
      <c r="A22" s="2">
        <v>45</v>
      </c>
      <c r="B22">
        <v>0</v>
      </c>
      <c r="C22" s="2">
        <v>7702</v>
      </c>
      <c r="D22">
        <v>1</v>
      </c>
      <c r="E22" s="2">
        <v>25</v>
      </c>
      <c r="F22">
        <v>1</v>
      </c>
      <c r="G22" s="2">
        <v>390000</v>
      </c>
      <c r="H22" s="1">
        <v>1</v>
      </c>
      <c r="I22" s="2">
        <v>139</v>
      </c>
      <c r="J22">
        <v>1</v>
      </c>
      <c r="K22">
        <v>0</v>
      </c>
      <c r="L22" s="2">
        <v>60</v>
      </c>
      <c r="M22">
        <v>1</v>
      </c>
      <c r="N22" t="str">
        <f>IF(Table1[[#This Row],[time]]&lt;60, "Critical", IF(Table1[[#This Row],[time]]&lt;120,"Under Obs","Normal"))</f>
        <v>Under Obs</v>
      </c>
    </row>
    <row r="23" spans="1:14" x14ac:dyDescent="0.3">
      <c r="A23" s="2">
        <v>45</v>
      </c>
      <c r="B23">
        <v>0</v>
      </c>
      <c r="C23" s="2">
        <v>582</v>
      </c>
      <c r="D23">
        <v>0</v>
      </c>
      <c r="E23" s="2">
        <v>35</v>
      </c>
      <c r="F23">
        <v>0</v>
      </c>
      <c r="G23" s="2">
        <v>385000</v>
      </c>
      <c r="H23" s="1">
        <v>1</v>
      </c>
      <c r="I23" s="2">
        <v>145</v>
      </c>
      <c r="J23">
        <v>1</v>
      </c>
      <c r="K23">
        <v>0</v>
      </c>
      <c r="L23" s="2">
        <v>61</v>
      </c>
      <c r="M23">
        <v>1</v>
      </c>
      <c r="N23" t="str">
        <f>IF(Table1[[#This Row],[time]]&lt;60, "Critical", IF(Table1[[#This Row],[time]]&lt;120,"Under Obs","Normal"))</f>
        <v>Under Obs</v>
      </c>
    </row>
    <row r="24" spans="1:14" x14ac:dyDescent="0.3">
      <c r="A24" s="2">
        <v>45</v>
      </c>
      <c r="B24">
        <v>0</v>
      </c>
      <c r="C24" s="2">
        <v>582</v>
      </c>
      <c r="D24">
        <v>0</v>
      </c>
      <c r="E24" s="2">
        <v>80</v>
      </c>
      <c r="F24">
        <v>0</v>
      </c>
      <c r="G24" s="2">
        <v>263358.03000000003</v>
      </c>
      <c r="H24" s="1">
        <v>1.18</v>
      </c>
      <c r="I24" s="2">
        <v>137</v>
      </c>
      <c r="J24">
        <v>0</v>
      </c>
      <c r="K24">
        <v>0</v>
      </c>
      <c r="L24" s="2">
        <v>63</v>
      </c>
      <c r="M24">
        <v>0</v>
      </c>
      <c r="N24" t="str">
        <f>IF(Table1[[#This Row],[time]]&lt;60, "Critical", IF(Table1[[#This Row],[time]]&lt;120,"Under Obs","Normal"))</f>
        <v>Under Obs</v>
      </c>
    </row>
    <row r="25" spans="1:14" x14ac:dyDescent="0.3">
      <c r="A25" s="2">
        <v>45</v>
      </c>
      <c r="B25">
        <v>1</v>
      </c>
      <c r="C25" s="2">
        <v>1876</v>
      </c>
      <c r="D25">
        <v>1</v>
      </c>
      <c r="E25" s="2">
        <v>35</v>
      </c>
      <c r="F25">
        <v>0</v>
      </c>
      <c r="G25" s="2">
        <v>226000</v>
      </c>
      <c r="H25" s="1">
        <v>0.9</v>
      </c>
      <c r="I25" s="2">
        <v>138</v>
      </c>
      <c r="J25">
        <v>1</v>
      </c>
      <c r="K25">
        <v>0</v>
      </c>
      <c r="L25" s="2">
        <v>88</v>
      </c>
      <c r="M25">
        <v>0</v>
      </c>
      <c r="N25" t="str">
        <f>IF(Table1[[#This Row],[time]]&lt;60, "Critical", IF(Table1[[#This Row],[time]]&lt;120,"Under Obs","Normal"))</f>
        <v>Under Obs</v>
      </c>
    </row>
    <row r="26" spans="1:14" x14ac:dyDescent="0.3">
      <c r="A26" s="2">
        <v>45</v>
      </c>
      <c r="B26">
        <v>0</v>
      </c>
      <c r="C26" s="2">
        <v>292</v>
      </c>
      <c r="D26">
        <v>1</v>
      </c>
      <c r="E26" s="2">
        <v>35</v>
      </c>
      <c r="F26">
        <v>0</v>
      </c>
      <c r="G26" s="2">
        <v>850000</v>
      </c>
      <c r="H26" s="1">
        <v>1.3</v>
      </c>
      <c r="I26" s="2">
        <v>142</v>
      </c>
      <c r="J26">
        <v>1</v>
      </c>
      <c r="K26">
        <v>1</v>
      </c>
      <c r="L26" s="2">
        <v>88</v>
      </c>
      <c r="M26">
        <v>0</v>
      </c>
      <c r="N26" t="str">
        <f>IF(Table1[[#This Row],[time]]&lt;60, "Critical", IF(Table1[[#This Row],[time]]&lt;120,"Under Obs","Normal"))</f>
        <v>Under Obs</v>
      </c>
    </row>
    <row r="27" spans="1:14" x14ac:dyDescent="0.3">
      <c r="A27" s="2">
        <v>45</v>
      </c>
      <c r="B27">
        <v>1</v>
      </c>
      <c r="C27" s="2">
        <v>130</v>
      </c>
      <c r="D27">
        <v>0</v>
      </c>
      <c r="E27" s="2">
        <v>35</v>
      </c>
      <c r="F27">
        <v>0</v>
      </c>
      <c r="G27" s="2">
        <v>174000</v>
      </c>
      <c r="H27" s="1">
        <v>0.8</v>
      </c>
      <c r="I27" s="2">
        <v>139</v>
      </c>
      <c r="J27">
        <v>1</v>
      </c>
      <c r="K27">
        <v>1</v>
      </c>
      <c r="L27" s="2">
        <v>121</v>
      </c>
      <c r="M27">
        <v>0</v>
      </c>
      <c r="N27" t="str">
        <f>IF(Table1[[#This Row],[time]]&lt;60, "Critical", IF(Table1[[#This Row],[time]]&lt;120,"Under Obs","Normal"))</f>
        <v>Normal</v>
      </c>
    </row>
    <row r="28" spans="1:14" x14ac:dyDescent="0.3">
      <c r="A28" s="2">
        <v>45</v>
      </c>
      <c r="B28">
        <v>0</v>
      </c>
      <c r="C28" s="2">
        <v>2442</v>
      </c>
      <c r="D28">
        <v>1</v>
      </c>
      <c r="E28" s="2">
        <v>30</v>
      </c>
      <c r="F28">
        <v>0</v>
      </c>
      <c r="G28" s="2">
        <v>334000</v>
      </c>
      <c r="H28" s="1">
        <v>1.1000000000000001</v>
      </c>
      <c r="I28" s="2">
        <v>139</v>
      </c>
      <c r="J28">
        <v>1</v>
      </c>
      <c r="K28">
        <v>0</v>
      </c>
      <c r="L28" s="2">
        <v>129</v>
      </c>
      <c r="M28">
        <v>1</v>
      </c>
      <c r="N28" t="str">
        <f>IF(Table1[[#This Row],[time]]&lt;60, "Critical", IF(Table1[[#This Row],[time]]&lt;120,"Under Obs","Normal"))</f>
        <v>Normal</v>
      </c>
    </row>
    <row r="29" spans="1:14" x14ac:dyDescent="0.3">
      <c r="A29" s="2">
        <v>45</v>
      </c>
      <c r="B29">
        <v>0</v>
      </c>
      <c r="C29" s="2">
        <v>582</v>
      </c>
      <c r="D29">
        <v>0</v>
      </c>
      <c r="E29" s="2">
        <v>20</v>
      </c>
      <c r="F29">
        <v>1</v>
      </c>
      <c r="G29" s="2">
        <v>126000</v>
      </c>
      <c r="H29" s="1">
        <v>1.6</v>
      </c>
      <c r="I29" s="2">
        <v>135</v>
      </c>
      <c r="J29">
        <v>1</v>
      </c>
      <c r="K29">
        <v>0</v>
      </c>
      <c r="L29" s="2">
        <v>180</v>
      </c>
      <c r="M29">
        <v>1</v>
      </c>
      <c r="N29" t="str">
        <f>IF(Table1[[#This Row],[time]]&lt;60, "Critical", IF(Table1[[#This Row],[time]]&lt;120,"Under Obs","Normal"))</f>
        <v>Normal</v>
      </c>
    </row>
    <row r="30" spans="1:14" x14ac:dyDescent="0.3">
      <c r="A30" s="2">
        <v>45</v>
      </c>
      <c r="B30">
        <v>0</v>
      </c>
      <c r="C30" s="2">
        <v>582</v>
      </c>
      <c r="D30">
        <v>1</v>
      </c>
      <c r="E30" s="2">
        <v>38</v>
      </c>
      <c r="F30">
        <v>1</v>
      </c>
      <c r="G30" s="2">
        <v>263358.03000000003</v>
      </c>
      <c r="H30" s="1">
        <v>1.18</v>
      </c>
      <c r="I30" s="2">
        <v>137</v>
      </c>
      <c r="J30">
        <v>0</v>
      </c>
      <c r="K30">
        <v>0</v>
      </c>
      <c r="L30" s="2">
        <v>185</v>
      </c>
      <c r="M30">
        <v>0</v>
      </c>
      <c r="N30" t="str">
        <f>IF(Table1[[#This Row],[time]]&lt;60, "Critical", IF(Table1[[#This Row],[time]]&lt;120,"Under Obs","Normal"))</f>
        <v>Normal</v>
      </c>
    </row>
    <row r="31" spans="1:14" x14ac:dyDescent="0.3">
      <c r="A31" s="2">
        <v>45</v>
      </c>
      <c r="B31">
        <v>0</v>
      </c>
      <c r="C31" s="2">
        <v>308</v>
      </c>
      <c r="D31">
        <v>1</v>
      </c>
      <c r="E31" s="2">
        <v>60</v>
      </c>
      <c r="F31">
        <v>1</v>
      </c>
      <c r="G31" s="2">
        <v>377000</v>
      </c>
      <c r="H31" s="1">
        <v>1</v>
      </c>
      <c r="I31" s="2">
        <v>136</v>
      </c>
      <c r="J31">
        <v>1</v>
      </c>
      <c r="K31">
        <v>0</v>
      </c>
      <c r="L31" s="2">
        <v>186</v>
      </c>
      <c r="M31">
        <v>0</v>
      </c>
      <c r="N31" t="str">
        <f>IF(Table1[[#This Row],[time]]&lt;60, "Critical", IF(Table1[[#This Row],[time]]&lt;120,"Under Obs","Normal"))</f>
        <v>Normal</v>
      </c>
    </row>
    <row r="32" spans="1:14" x14ac:dyDescent="0.3">
      <c r="A32" s="2">
        <v>45</v>
      </c>
      <c r="B32">
        <v>1</v>
      </c>
      <c r="C32" s="2">
        <v>66</v>
      </c>
      <c r="D32">
        <v>1</v>
      </c>
      <c r="E32" s="2">
        <v>25</v>
      </c>
      <c r="F32">
        <v>0</v>
      </c>
      <c r="G32" s="2">
        <v>233000</v>
      </c>
      <c r="H32" s="1">
        <v>0.8</v>
      </c>
      <c r="I32" s="2">
        <v>135</v>
      </c>
      <c r="J32">
        <v>1</v>
      </c>
      <c r="K32">
        <v>0</v>
      </c>
      <c r="L32" s="2">
        <v>230</v>
      </c>
      <c r="M32">
        <v>0</v>
      </c>
      <c r="N32" t="str">
        <f>IF(Table1[[#This Row],[time]]&lt;60, "Critical", IF(Table1[[#This Row],[time]]&lt;120,"Under Obs","Normal"))</f>
        <v>Normal</v>
      </c>
    </row>
    <row r="33" spans="1:14" x14ac:dyDescent="0.3">
      <c r="A33" s="2">
        <v>45</v>
      </c>
      <c r="B33">
        <v>0</v>
      </c>
      <c r="C33" s="2">
        <v>582</v>
      </c>
      <c r="D33">
        <v>1</v>
      </c>
      <c r="E33" s="2">
        <v>38</v>
      </c>
      <c r="F33">
        <v>0</v>
      </c>
      <c r="G33" s="2">
        <v>302000</v>
      </c>
      <c r="H33" s="1">
        <v>0.9</v>
      </c>
      <c r="I33" s="2">
        <v>140</v>
      </c>
      <c r="J33">
        <v>0</v>
      </c>
      <c r="K33">
        <v>0</v>
      </c>
      <c r="L33" s="2">
        <v>244</v>
      </c>
      <c r="M33">
        <v>0</v>
      </c>
      <c r="N33" t="str">
        <f>IF(Table1[[#This Row],[time]]&lt;60, "Critical", IF(Table1[[#This Row],[time]]&lt;120,"Under Obs","Normal"))</f>
        <v>Normal</v>
      </c>
    </row>
    <row r="34" spans="1:14" x14ac:dyDescent="0.3">
      <c r="A34" s="2">
        <v>45</v>
      </c>
      <c r="B34">
        <v>0</v>
      </c>
      <c r="C34" s="2">
        <v>582</v>
      </c>
      <c r="D34">
        <v>0</v>
      </c>
      <c r="E34" s="2">
        <v>38</v>
      </c>
      <c r="F34">
        <v>1</v>
      </c>
      <c r="G34" s="2">
        <v>422000</v>
      </c>
      <c r="H34" s="1">
        <v>0.8</v>
      </c>
      <c r="I34" s="2">
        <v>137</v>
      </c>
      <c r="J34">
        <v>0</v>
      </c>
      <c r="K34">
        <v>0</v>
      </c>
      <c r="L34" s="2">
        <v>245</v>
      </c>
      <c r="M34">
        <v>0</v>
      </c>
      <c r="N34" t="str">
        <f>IF(Table1[[#This Row],[time]]&lt;60, "Critical", IF(Table1[[#This Row],[time]]&lt;120,"Under Obs","Normal"))</f>
        <v>Normal</v>
      </c>
    </row>
    <row r="35" spans="1:14" x14ac:dyDescent="0.3">
      <c r="A35" s="2">
        <v>45</v>
      </c>
      <c r="B35">
        <v>0</v>
      </c>
      <c r="C35" s="2">
        <v>582</v>
      </c>
      <c r="D35">
        <v>1</v>
      </c>
      <c r="E35" s="2">
        <v>55</v>
      </c>
      <c r="F35">
        <v>0</v>
      </c>
      <c r="G35" s="2">
        <v>543000</v>
      </c>
      <c r="H35" s="1">
        <v>1</v>
      </c>
      <c r="I35" s="2">
        <v>132</v>
      </c>
      <c r="J35">
        <v>0</v>
      </c>
      <c r="K35">
        <v>0</v>
      </c>
      <c r="L35" s="2">
        <v>250</v>
      </c>
      <c r="M35">
        <v>0</v>
      </c>
      <c r="N35" t="str">
        <f>IF(Table1[[#This Row],[time]]&lt;60, "Critical", IF(Table1[[#This Row],[time]]&lt;120,"Under Obs","Normal"))</f>
        <v>Normal</v>
      </c>
    </row>
    <row r="36" spans="1:14" x14ac:dyDescent="0.3">
      <c r="A36" s="2">
        <v>45</v>
      </c>
      <c r="B36">
        <v>0</v>
      </c>
      <c r="C36" s="2">
        <v>615</v>
      </c>
      <c r="D36">
        <v>1</v>
      </c>
      <c r="E36" s="2">
        <v>55</v>
      </c>
      <c r="F36">
        <v>0</v>
      </c>
      <c r="G36" s="2">
        <v>222000</v>
      </c>
      <c r="H36" s="1">
        <v>0.8</v>
      </c>
      <c r="I36" s="2">
        <v>141</v>
      </c>
      <c r="J36">
        <v>0</v>
      </c>
      <c r="K36">
        <v>0</v>
      </c>
      <c r="L36" s="2">
        <v>257</v>
      </c>
      <c r="M36">
        <v>0</v>
      </c>
      <c r="N36" t="str">
        <f>IF(Table1[[#This Row],[time]]&lt;60, "Critical", IF(Table1[[#This Row],[time]]&lt;120,"Under Obs","Normal"))</f>
        <v>Normal</v>
      </c>
    </row>
    <row r="37" spans="1:14" x14ac:dyDescent="0.3">
      <c r="A37" s="2">
        <v>45</v>
      </c>
      <c r="B37">
        <v>0</v>
      </c>
      <c r="C37" s="2">
        <v>2060</v>
      </c>
      <c r="D37">
        <v>1</v>
      </c>
      <c r="E37" s="2">
        <v>60</v>
      </c>
      <c r="F37">
        <v>0</v>
      </c>
      <c r="G37" s="2">
        <v>742000</v>
      </c>
      <c r="H37" s="1">
        <v>0.8</v>
      </c>
      <c r="I37" s="2">
        <v>138</v>
      </c>
      <c r="J37">
        <v>0</v>
      </c>
      <c r="K37">
        <v>0</v>
      </c>
      <c r="L37" s="2">
        <v>278</v>
      </c>
      <c r="M37">
        <v>0</v>
      </c>
      <c r="N37" t="str">
        <f>IF(Table1[[#This Row],[time]]&lt;60, "Critical", IF(Table1[[#This Row],[time]]&lt;120,"Under Obs","Normal"))</f>
        <v>Normal</v>
      </c>
    </row>
    <row r="38" spans="1:14" x14ac:dyDescent="0.3">
      <c r="A38" s="2">
        <v>45</v>
      </c>
      <c r="B38">
        <v>0</v>
      </c>
      <c r="C38" s="2">
        <v>2413</v>
      </c>
      <c r="D38">
        <v>0</v>
      </c>
      <c r="E38" s="2">
        <v>38</v>
      </c>
      <c r="F38">
        <v>0</v>
      </c>
      <c r="G38" s="2">
        <v>140000</v>
      </c>
      <c r="H38" s="1">
        <v>1.4</v>
      </c>
      <c r="I38" s="2">
        <v>140</v>
      </c>
      <c r="J38">
        <v>1</v>
      </c>
      <c r="K38">
        <v>1</v>
      </c>
      <c r="L38" s="2">
        <v>280</v>
      </c>
      <c r="M38">
        <v>0</v>
      </c>
      <c r="N38" t="str">
        <f>IF(Table1[[#This Row],[time]]&lt;60, "Critical", IF(Table1[[#This Row],[time]]&lt;120,"Under Obs","Normal"))</f>
        <v>Normal</v>
      </c>
    </row>
    <row r="39" spans="1:14" x14ac:dyDescent="0.3">
      <c r="A39" s="2">
        <v>46</v>
      </c>
      <c r="B39">
        <v>0</v>
      </c>
      <c r="C39" s="2">
        <v>168</v>
      </c>
      <c r="D39">
        <v>1</v>
      </c>
      <c r="E39" s="2">
        <v>17</v>
      </c>
      <c r="F39">
        <v>1</v>
      </c>
      <c r="G39" s="2">
        <v>271000</v>
      </c>
      <c r="H39" s="1">
        <v>2.1</v>
      </c>
      <c r="I39" s="2">
        <v>124</v>
      </c>
      <c r="J39">
        <v>0</v>
      </c>
      <c r="K39">
        <v>0</v>
      </c>
      <c r="L39" s="2">
        <v>100</v>
      </c>
      <c r="M39">
        <v>1</v>
      </c>
      <c r="N39" t="str">
        <f>IF(Table1[[#This Row],[time]]&lt;60, "Critical", IF(Table1[[#This Row],[time]]&lt;120,"Under Obs","Normal"))</f>
        <v>Under Obs</v>
      </c>
    </row>
    <row r="40" spans="1:14" x14ac:dyDescent="0.3">
      <c r="A40" s="2">
        <v>46</v>
      </c>
      <c r="B40">
        <v>0</v>
      </c>
      <c r="C40" s="2">
        <v>719</v>
      </c>
      <c r="D40">
        <v>0</v>
      </c>
      <c r="E40" s="2">
        <v>40</v>
      </c>
      <c r="F40">
        <v>1</v>
      </c>
      <c r="G40" s="2">
        <v>263358.03000000003</v>
      </c>
      <c r="H40" s="1">
        <v>1.18</v>
      </c>
      <c r="I40" s="2">
        <v>137</v>
      </c>
      <c r="J40">
        <v>0</v>
      </c>
      <c r="K40">
        <v>0</v>
      </c>
      <c r="L40" s="2">
        <v>107</v>
      </c>
      <c r="M40">
        <v>0</v>
      </c>
      <c r="N40" t="str">
        <f>IF(Table1[[#This Row],[time]]&lt;60, "Critical", IF(Table1[[#This Row],[time]]&lt;120,"Under Obs","Normal"))</f>
        <v>Under Obs</v>
      </c>
    </row>
    <row r="41" spans="1:14" x14ac:dyDescent="0.3">
      <c r="A41" s="2">
        <v>46</v>
      </c>
      <c r="B41">
        <v>1</v>
      </c>
      <c r="C41" s="2">
        <v>291</v>
      </c>
      <c r="D41">
        <v>0</v>
      </c>
      <c r="E41" s="2">
        <v>35</v>
      </c>
      <c r="F41">
        <v>0</v>
      </c>
      <c r="G41" s="2">
        <v>348000</v>
      </c>
      <c r="H41" s="1">
        <v>0.9</v>
      </c>
      <c r="I41" s="2">
        <v>140</v>
      </c>
      <c r="J41">
        <v>0</v>
      </c>
      <c r="K41">
        <v>0</v>
      </c>
      <c r="L41" s="2">
        <v>109</v>
      </c>
      <c r="M41">
        <v>0</v>
      </c>
      <c r="N41" t="str">
        <f>IF(Table1[[#This Row],[time]]&lt;60, "Critical", IF(Table1[[#This Row],[time]]&lt;120,"Under Obs","Normal"))</f>
        <v>Under Obs</v>
      </c>
    </row>
    <row r="42" spans="1:14" x14ac:dyDescent="0.3">
      <c r="A42" s="2">
        <v>47</v>
      </c>
      <c r="B42">
        <v>0</v>
      </c>
      <c r="C42" s="2">
        <v>582</v>
      </c>
      <c r="D42">
        <v>0</v>
      </c>
      <c r="E42" s="2">
        <v>25</v>
      </c>
      <c r="F42">
        <v>0</v>
      </c>
      <c r="G42" s="2">
        <v>130000</v>
      </c>
      <c r="H42" s="1">
        <v>0.8</v>
      </c>
      <c r="I42" s="2">
        <v>134</v>
      </c>
      <c r="J42">
        <v>1</v>
      </c>
      <c r="K42">
        <v>0</v>
      </c>
      <c r="L42" s="2">
        <v>201</v>
      </c>
      <c r="M42">
        <v>0</v>
      </c>
      <c r="N42" t="str">
        <f>IF(Table1[[#This Row],[time]]&lt;60, "Critical", IF(Table1[[#This Row],[time]]&lt;120,"Under Obs","Normal"))</f>
        <v>Normal</v>
      </c>
    </row>
    <row r="43" spans="1:14" x14ac:dyDescent="0.3">
      <c r="A43" s="2">
        <v>48</v>
      </c>
      <c r="B43">
        <v>1</v>
      </c>
      <c r="C43" s="2">
        <v>582</v>
      </c>
      <c r="D43">
        <v>1</v>
      </c>
      <c r="E43" s="2">
        <v>55</v>
      </c>
      <c r="F43">
        <v>0</v>
      </c>
      <c r="G43" s="2">
        <v>87000</v>
      </c>
      <c r="H43" s="1">
        <v>1.9</v>
      </c>
      <c r="I43" s="2">
        <v>121</v>
      </c>
      <c r="J43">
        <v>0</v>
      </c>
      <c r="K43">
        <v>0</v>
      </c>
      <c r="L43" s="2">
        <v>15</v>
      </c>
      <c r="M43">
        <v>1</v>
      </c>
      <c r="N43" t="str">
        <f>IF(Table1[[#This Row],[time]]&lt;60, "Critical", IF(Table1[[#This Row],[time]]&lt;120,"Under Obs","Normal"))</f>
        <v>Critical</v>
      </c>
    </row>
    <row r="44" spans="1:14" x14ac:dyDescent="0.3">
      <c r="A44" s="2">
        <v>48</v>
      </c>
      <c r="B44">
        <v>1</v>
      </c>
      <c r="C44" s="2">
        <v>131</v>
      </c>
      <c r="D44">
        <v>1</v>
      </c>
      <c r="E44" s="2">
        <v>30</v>
      </c>
      <c r="F44">
        <v>1</v>
      </c>
      <c r="G44" s="2">
        <v>244000</v>
      </c>
      <c r="H44" s="1">
        <v>1.6</v>
      </c>
      <c r="I44" s="2">
        <v>130</v>
      </c>
      <c r="J44">
        <v>0</v>
      </c>
      <c r="K44">
        <v>0</v>
      </c>
      <c r="L44" s="2">
        <v>193</v>
      </c>
      <c r="M44">
        <v>1</v>
      </c>
      <c r="N44" t="str">
        <f>IF(Table1[[#This Row],[time]]&lt;60, "Critical", IF(Table1[[#This Row],[time]]&lt;120,"Under Obs","Normal"))</f>
        <v>Normal</v>
      </c>
    </row>
    <row r="45" spans="1:14" x14ac:dyDescent="0.3">
      <c r="A45" s="2">
        <v>49</v>
      </c>
      <c r="B45">
        <v>1</v>
      </c>
      <c r="C45" s="2">
        <v>80</v>
      </c>
      <c r="D45">
        <v>0</v>
      </c>
      <c r="E45" s="2">
        <v>30</v>
      </c>
      <c r="F45">
        <v>1</v>
      </c>
      <c r="G45" s="2">
        <v>427000</v>
      </c>
      <c r="H45" s="1">
        <v>1</v>
      </c>
      <c r="I45" s="2">
        <v>138</v>
      </c>
      <c r="J45">
        <v>0</v>
      </c>
      <c r="K45">
        <v>0</v>
      </c>
      <c r="L45" s="2">
        <v>12</v>
      </c>
      <c r="M45">
        <v>0</v>
      </c>
      <c r="N45" t="str">
        <f>IF(Table1[[#This Row],[time]]&lt;60, "Critical", IF(Table1[[#This Row],[time]]&lt;120,"Under Obs","Normal"))</f>
        <v>Critical</v>
      </c>
    </row>
    <row r="46" spans="1:14" x14ac:dyDescent="0.3">
      <c r="A46" s="2">
        <v>49</v>
      </c>
      <c r="B46">
        <v>0</v>
      </c>
      <c r="C46" s="2">
        <v>789</v>
      </c>
      <c r="D46">
        <v>0</v>
      </c>
      <c r="E46" s="2">
        <v>20</v>
      </c>
      <c r="F46">
        <v>1</v>
      </c>
      <c r="G46" s="2">
        <v>319000</v>
      </c>
      <c r="H46" s="1">
        <v>1.1000000000000001</v>
      </c>
      <c r="I46" s="2">
        <v>136</v>
      </c>
      <c r="J46">
        <v>1</v>
      </c>
      <c r="K46">
        <v>1</v>
      </c>
      <c r="L46" s="2">
        <v>55</v>
      </c>
      <c r="M46">
        <v>1</v>
      </c>
      <c r="N46" t="str">
        <f>IF(Table1[[#This Row],[time]]&lt;60, "Critical", IF(Table1[[#This Row],[time]]&lt;120,"Under Obs","Normal"))</f>
        <v>Critical</v>
      </c>
    </row>
    <row r="47" spans="1:14" x14ac:dyDescent="0.3">
      <c r="A47" s="2">
        <v>49</v>
      </c>
      <c r="B47">
        <v>1</v>
      </c>
      <c r="C47" s="2">
        <v>69</v>
      </c>
      <c r="D47">
        <v>0</v>
      </c>
      <c r="E47" s="2">
        <v>50</v>
      </c>
      <c r="F47">
        <v>0</v>
      </c>
      <c r="G47" s="2">
        <v>132000</v>
      </c>
      <c r="H47" s="1">
        <v>1</v>
      </c>
      <c r="I47" s="2">
        <v>140</v>
      </c>
      <c r="J47">
        <v>0</v>
      </c>
      <c r="K47">
        <v>0</v>
      </c>
      <c r="L47" s="2">
        <v>147</v>
      </c>
      <c r="M47">
        <v>0</v>
      </c>
      <c r="N47" t="str">
        <f>IF(Table1[[#This Row],[time]]&lt;60, "Critical", IF(Table1[[#This Row],[time]]&lt;120,"Under Obs","Normal"))</f>
        <v>Normal</v>
      </c>
    </row>
    <row r="48" spans="1:14" x14ac:dyDescent="0.3">
      <c r="A48" s="2">
        <v>49</v>
      </c>
      <c r="B48">
        <v>0</v>
      </c>
      <c r="C48" s="2">
        <v>972</v>
      </c>
      <c r="D48">
        <v>1</v>
      </c>
      <c r="E48" s="2">
        <v>35</v>
      </c>
      <c r="F48">
        <v>1</v>
      </c>
      <c r="G48" s="2">
        <v>268000</v>
      </c>
      <c r="H48" s="1">
        <v>0.8</v>
      </c>
      <c r="I48" s="2">
        <v>130</v>
      </c>
      <c r="J48">
        <v>0</v>
      </c>
      <c r="K48">
        <v>0</v>
      </c>
      <c r="L48" s="2">
        <v>187</v>
      </c>
      <c r="M48">
        <v>0</v>
      </c>
      <c r="N48" t="str">
        <f>IF(Table1[[#This Row],[time]]&lt;60, "Critical", IF(Table1[[#This Row],[time]]&lt;120,"Under Obs","Normal"))</f>
        <v>Normal</v>
      </c>
    </row>
    <row r="49" spans="1:14" x14ac:dyDescent="0.3">
      <c r="A49" s="2">
        <v>50</v>
      </c>
      <c r="B49">
        <v>1</v>
      </c>
      <c r="C49" s="2">
        <v>111</v>
      </c>
      <c r="D49">
        <v>0</v>
      </c>
      <c r="E49" s="2">
        <v>20</v>
      </c>
      <c r="F49">
        <v>0</v>
      </c>
      <c r="G49" s="2">
        <v>210000</v>
      </c>
      <c r="H49" s="1">
        <v>1.9</v>
      </c>
      <c r="I49" s="2">
        <v>137</v>
      </c>
      <c r="J49">
        <v>1</v>
      </c>
      <c r="K49">
        <v>0</v>
      </c>
      <c r="L49" s="2">
        <v>7</v>
      </c>
      <c r="M49">
        <v>1</v>
      </c>
      <c r="N49" t="str">
        <f>IF(Table1[[#This Row],[time]]&lt;60, "Critical", IF(Table1[[#This Row],[time]]&lt;120,"Under Obs","Normal"))</f>
        <v>Critical</v>
      </c>
    </row>
    <row r="50" spans="1:14" x14ac:dyDescent="0.3">
      <c r="A50" s="2">
        <v>50</v>
      </c>
      <c r="B50">
        <v>1</v>
      </c>
      <c r="C50" s="2">
        <v>168</v>
      </c>
      <c r="D50">
        <v>0</v>
      </c>
      <c r="E50" s="2">
        <v>38</v>
      </c>
      <c r="F50">
        <v>1</v>
      </c>
      <c r="G50" s="2">
        <v>276000</v>
      </c>
      <c r="H50" s="1">
        <v>1.1000000000000001</v>
      </c>
      <c r="I50" s="2">
        <v>137</v>
      </c>
      <c r="J50">
        <v>1</v>
      </c>
      <c r="K50">
        <v>0</v>
      </c>
      <c r="L50" s="2">
        <v>11</v>
      </c>
      <c r="M50">
        <v>1</v>
      </c>
      <c r="N50" t="str">
        <f>IF(Table1[[#This Row],[time]]&lt;60, "Critical", IF(Table1[[#This Row],[time]]&lt;120,"Under Obs","Normal"))</f>
        <v>Critical</v>
      </c>
    </row>
    <row r="51" spans="1:14" x14ac:dyDescent="0.3">
      <c r="A51" s="2">
        <v>50</v>
      </c>
      <c r="B51">
        <v>1</v>
      </c>
      <c r="C51" s="2">
        <v>249</v>
      </c>
      <c r="D51">
        <v>1</v>
      </c>
      <c r="E51" s="2">
        <v>35</v>
      </c>
      <c r="F51">
        <v>1</v>
      </c>
      <c r="G51" s="2">
        <v>319000</v>
      </c>
      <c r="H51" s="1">
        <v>1</v>
      </c>
      <c r="I51" s="2">
        <v>128</v>
      </c>
      <c r="J51">
        <v>0</v>
      </c>
      <c r="K51">
        <v>0</v>
      </c>
      <c r="L51" s="2">
        <v>28</v>
      </c>
      <c r="M51">
        <v>1</v>
      </c>
      <c r="N51" t="str">
        <f>IF(Table1[[#This Row],[time]]&lt;60, "Critical", IF(Table1[[#This Row],[time]]&lt;120,"Under Obs","Normal"))</f>
        <v>Critical</v>
      </c>
    </row>
    <row r="52" spans="1:14" x14ac:dyDescent="0.3">
      <c r="A52" s="2">
        <v>50</v>
      </c>
      <c r="B52">
        <v>1</v>
      </c>
      <c r="C52" s="2">
        <v>159</v>
      </c>
      <c r="D52">
        <v>1</v>
      </c>
      <c r="E52" s="2">
        <v>30</v>
      </c>
      <c r="F52">
        <v>0</v>
      </c>
      <c r="G52" s="2">
        <v>302000</v>
      </c>
      <c r="H52" s="1">
        <v>1.2</v>
      </c>
      <c r="I52" s="2">
        <v>138</v>
      </c>
      <c r="J52">
        <v>0</v>
      </c>
      <c r="K52">
        <v>0</v>
      </c>
      <c r="L52" s="2">
        <v>29</v>
      </c>
      <c r="M52">
        <v>0</v>
      </c>
      <c r="N52" t="str">
        <f>IF(Table1[[#This Row],[time]]&lt;60, "Critical", IF(Table1[[#This Row],[time]]&lt;120,"Under Obs","Normal"))</f>
        <v>Critical</v>
      </c>
    </row>
    <row r="53" spans="1:14" x14ac:dyDescent="0.3">
      <c r="A53" s="2">
        <v>50</v>
      </c>
      <c r="B53">
        <v>0</v>
      </c>
      <c r="C53" s="2">
        <v>124</v>
      </c>
      <c r="D53">
        <v>1</v>
      </c>
      <c r="E53" s="2">
        <v>30</v>
      </c>
      <c r="F53">
        <v>1</v>
      </c>
      <c r="G53" s="2">
        <v>153000</v>
      </c>
      <c r="H53" s="1">
        <v>1.2</v>
      </c>
      <c r="I53" s="2">
        <v>136</v>
      </c>
      <c r="J53">
        <v>0</v>
      </c>
      <c r="K53">
        <v>1</v>
      </c>
      <c r="L53" s="2">
        <v>32</v>
      </c>
      <c r="M53">
        <v>1</v>
      </c>
      <c r="N53" t="str">
        <f>IF(Table1[[#This Row],[time]]&lt;60, "Critical", IF(Table1[[#This Row],[time]]&lt;120,"Under Obs","Normal"))</f>
        <v>Critical</v>
      </c>
    </row>
    <row r="54" spans="1:14" x14ac:dyDescent="0.3">
      <c r="A54" s="2">
        <v>50</v>
      </c>
      <c r="B54">
        <v>0</v>
      </c>
      <c r="C54" s="2">
        <v>582</v>
      </c>
      <c r="D54">
        <v>1</v>
      </c>
      <c r="E54" s="2">
        <v>38</v>
      </c>
      <c r="F54">
        <v>0</v>
      </c>
      <c r="G54" s="2">
        <v>310000</v>
      </c>
      <c r="H54" s="1">
        <v>1.9</v>
      </c>
      <c r="I54" s="2">
        <v>135</v>
      </c>
      <c r="J54">
        <v>1</v>
      </c>
      <c r="K54">
        <v>1</v>
      </c>
      <c r="L54" s="2">
        <v>35</v>
      </c>
      <c r="M54">
        <v>1</v>
      </c>
      <c r="N54" t="str">
        <f>IF(Table1[[#This Row],[time]]&lt;60, "Critical", IF(Table1[[#This Row],[time]]&lt;120,"Under Obs","Normal"))</f>
        <v>Critical</v>
      </c>
    </row>
    <row r="55" spans="1:14" x14ac:dyDescent="0.3">
      <c r="A55" s="2">
        <v>50</v>
      </c>
      <c r="B55">
        <v>0</v>
      </c>
      <c r="C55" s="2">
        <v>318</v>
      </c>
      <c r="D55">
        <v>0</v>
      </c>
      <c r="E55" s="2">
        <v>40</v>
      </c>
      <c r="F55">
        <v>1</v>
      </c>
      <c r="G55" s="2">
        <v>216000</v>
      </c>
      <c r="H55" s="1">
        <v>2.2999999999999998</v>
      </c>
      <c r="I55" s="2">
        <v>131</v>
      </c>
      <c r="J55">
        <v>0</v>
      </c>
      <c r="K55">
        <v>0</v>
      </c>
      <c r="L55" s="2">
        <v>60</v>
      </c>
      <c r="M55">
        <v>1</v>
      </c>
      <c r="N55" t="str">
        <f>IF(Table1[[#This Row],[time]]&lt;60, "Critical", IF(Table1[[#This Row],[time]]&lt;120,"Under Obs","Normal"))</f>
        <v>Under Obs</v>
      </c>
    </row>
    <row r="56" spans="1:14" x14ac:dyDescent="0.3">
      <c r="A56" s="2">
        <v>50</v>
      </c>
      <c r="B56">
        <v>0</v>
      </c>
      <c r="C56" s="2">
        <v>369</v>
      </c>
      <c r="D56">
        <v>1</v>
      </c>
      <c r="E56" s="2">
        <v>25</v>
      </c>
      <c r="F56">
        <v>0</v>
      </c>
      <c r="G56" s="2">
        <v>252000</v>
      </c>
      <c r="H56" s="1">
        <v>1.6</v>
      </c>
      <c r="I56" s="2">
        <v>136</v>
      </c>
      <c r="J56">
        <v>1</v>
      </c>
      <c r="K56">
        <v>0</v>
      </c>
      <c r="L56" s="2">
        <v>90</v>
      </c>
      <c r="M56">
        <v>0</v>
      </c>
      <c r="N56" t="str">
        <f>IF(Table1[[#This Row],[time]]&lt;60, "Critical", IF(Table1[[#This Row],[time]]&lt;120,"Under Obs","Normal"))</f>
        <v>Under Obs</v>
      </c>
    </row>
    <row r="57" spans="1:14" x14ac:dyDescent="0.3">
      <c r="A57" s="2">
        <v>50</v>
      </c>
      <c r="B57">
        <v>0</v>
      </c>
      <c r="C57" s="2">
        <v>1548</v>
      </c>
      <c r="D57">
        <v>0</v>
      </c>
      <c r="E57" s="2">
        <v>30</v>
      </c>
      <c r="F57">
        <v>1</v>
      </c>
      <c r="G57" s="2">
        <v>211000</v>
      </c>
      <c r="H57" s="1">
        <v>0.8</v>
      </c>
      <c r="I57" s="2">
        <v>138</v>
      </c>
      <c r="J57">
        <v>1</v>
      </c>
      <c r="K57">
        <v>0</v>
      </c>
      <c r="L57" s="2">
        <v>108</v>
      </c>
      <c r="M57">
        <v>0</v>
      </c>
      <c r="N57" t="str">
        <f>IF(Table1[[#This Row],[time]]&lt;60, "Critical", IF(Table1[[#This Row],[time]]&lt;120,"Under Obs","Normal"))</f>
        <v>Under Obs</v>
      </c>
    </row>
    <row r="58" spans="1:14" x14ac:dyDescent="0.3">
      <c r="A58" s="2">
        <v>50</v>
      </c>
      <c r="B58">
        <v>0</v>
      </c>
      <c r="C58" s="2">
        <v>482</v>
      </c>
      <c r="D58">
        <v>1</v>
      </c>
      <c r="E58" s="2">
        <v>30</v>
      </c>
      <c r="F58">
        <v>0</v>
      </c>
      <c r="G58" s="2">
        <v>329000</v>
      </c>
      <c r="H58" s="1">
        <v>0.9</v>
      </c>
      <c r="I58" s="2">
        <v>132</v>
      </c>
      <c r="J58">
        <v>0</v>
      </c>
      <c r="K58">
        <v>0</v>
      </c>
      <c r="L58" s="2">
        <v>109</v>
      </c>
      <c r="M58">
        <v>0</v>
      </c>
      <c r="N58" t="str">
        <f>IF(Table1[[#This Row],[time]]&lt;60, "Critical", IF(Table1[[#This Row],[time]]&lt;120,"Under Obs","Normal"))</f>
        <v>Under Obs</v>
      </c>
    </row>
    <row r="59" spans="1:14" x14ac:dyDescent="0.3">
      <c r="A59" s="2">
        <v>50</v>
      </c>
      <c r="B59">
        <v>0</v>
      </c>
      <c r="C59" s="2">
        <v>185</v>
      </c>
      <c r="D59">
        <v>0</v>
      </c>
      <c r="E59" s="2">
        <v>30</v>
      </c>
      <c r="F59">
        <v>0</v>
      </c>
      <c r="G59" s="2">
        <v>266000</v>
      </c>
      <c r="H59" s="1">
        <v>0.7</v>
      </c>
      <c r="I59" s="2">
        <v>141</v>
      </c>
      <c r="J59">
        <v>1</v>
      </c>
      <c r="K59">
        <v>1</v>
      </c>
      <c r="L59" s="2">
        <v>112</v>
      </c>
      <c r="M59">
        <v>0</v>
      </c>
      <c r="N59" t="str">
        <f>IF(Table1[[#This Row],[time]]&lt;60, "Critical", IF(Table1[[#This Row],[time]]&lt;120,"Under Obs","Normal"))</f>
        <v>Under Obs</v>
      </c>
    </row>
    <row r="60" spans="1:14" x14ac:dyDescent="0.3">
      <c r="A60" s="2">
        <v>50</v>
      </c>
      <c r="B60">
        <v>0</v>
      </c>
      <c r="C60" s="2">
        <v>115</v>
      </c>
      <c r="D60">
        <v>0</v>
      </c>
      <c r="E60" s="2">
        <v>45</v>
      </c>
      <c r="F60">
        <v>1</v>
      </c>
      <c r="G60" s="2">
        <v>184000</v>
      </c>
      <c r="H60" s="1">
        <v>0.9</v>
      </c>
      <c r="I60" s="2">
        <v>134</v>
      </c>
      <c r="J60">
        <v>1</v>
      </c>
      <c r="K60">
        <v>1</v>
      </c>
      <c r="L60" s="2">
        <v>118</v>
      </c>
      <c r="M60">
        <v>0</v>
      </c>
      <c r="N60" t="str">
        <f>IF(Table1[[#This Row],[time]]&lt;60, "Critical", IF(Table1[[#This Row],[time]]&lt;120,"Under Obs","Normal"))</f>
        <v>Under Obs</v>
      </c>
    </row>
    <row r="61" spans="1:14" x14ac:dyDescent="0.3">
      <c r="A61" s="2">
        <v>50</v>
      </c>
      <c r="B61">
        <v>0</v>
      </c>
      <c r="C61" s="2">
        <v>1846</v>
      </c>
      <c r="D61">
        <v>1</v>
      </c>
      <c r="E61" s="2">
        <v>35</v>
      </c>
      <c r="F61">
        <v>0</v>
      </c>
      <c r="G61" s="2">
        <v>263358.03000000003</v>
      </c>
      <c r="H61" s="1">
        <v>1.18</v>
      </c>
      <c r="I61" s="2">
        <v>137</v>
      </c>
      <c r="J61">
        <v>1</v>
      </c>
      <c r="K61">
        <v>1</v>
      </c>
      <c r="L61" s="2">
        <v>119</v>
      </c>
      <c r="M61">
        <v>0</v>
      </c>
      <c r="N61" t="str">
        <f>IF(Table1[[#This Row],[time]]&lt;60, "Critical", IF(Table1[[#This Row],[time]]&lt;120,"Under Obs","Normal"))</f>
        <v>Under Obs</v>
      </c>
    </row>
    <row r="62" spans="1:14" x14ac:dyDescent="0.3">
      <c r="A62" s="2">
        <v>50</v>
      </c>
      <c r="B62">
        <v>0</v>
      </c>
      <c r="C62" s="2">
        <v>250</v>
      </c>
      <c r="D62">
        <v>0</v>
      </c>
      <c r="E62" s="2">
        <v>25</v>
      </c>
      <c r="F62">
        <v>0</v>
      </c>
      <c r="G62" s="2">
        <v>262000</v>
      </c>
      <c r="H62" s="1">
        <v>1</v>
      </c>
      <c r="I62" s="2">
        <v>136</v>
      </c>
      <c r="J62">
        <v>1</v>
      </c>
      <c r="K62">
        <v>1</v>
      </c>
      <c r="L62" s="2">
        <v>120</v>
      </c>
      <c r="M62">
        <v>0</v>
      </c>
      <c r="N62" t="str">
        <f>IF(Table1[[#This Row],[time]]&lt;60, "Critical", IF(Table1[[#This Row],[time]]&lt;120,"Under Obs","Normal"))</f>
        <v>Normal</v>
      </c>
    </row>
    <row r="63" spans="1:14" x14ac:dyDescent="0.3">
      <c r="A63" s="2">
        <v>50</v>
      </c>
      <c r="B63">
        <v>1</v>
      </c>
      <c r="C63" s="2">
        <v>2334</v>
      </c>
      <c r="D63">
        <v>1</v>
      </c>
      <c r="E63" s="2">
        <v>35</v>
      </c>
      <c r="F63">
        <v>0</v>
      </c>
      <c r="G63" s="2">
        <v>75000</v>
      </c>
      <c r="H63" s="1">
        <v>0.9</v>
      </c>
      <c r="I63" s="2">
        <v>142</v>
      </c>
      <c r="J63">
        <v>0</v>
      </c>
      <c r="K63">
        <v>0</v>
      </c>
      <c r="L63" s="2">
        <v>126</v>
      </c>
      <c r="M63">
        <v>1</v>
      </c>
      <c r="N63" t="str">
        <f>IF(Table1[[#This Row],[time]]&lt;60, "Critical", IF(Table1[[#This Row],[time]]&lt;120,"Under Obs","Normal"))</f>
        <v>Normal</v>
      </c>
    </row>
    <row r="64" spans="1:14" x14ac:dyDescent="0.3">
      <c r="A64" s="2">
        <v>50</v>
      </c>
      <c r="B64">
        <v>1</v>
      </c>
      <c r="C64" s="2">
        <v>115</v>
      </c>
      <c r="D64">
        <v>0</v>
      </c>
      <c r="E64" s="2">
        <v>20</v>
      </c>
      <c r="F64">
        <v>0</v>
      </c>
      <c r="G64" s="2">
        <v>189000</v>
      </c>
      <c r="H64" s="1">
        <v>0.8</v>
      </c>
      <c r="I64" s="2">
        <v>139</v>
      </c>
      <c r="J64">
        <v>1</v>
      </c>
      <c r="K64">
        <v>0</v>
      </c>
      <c r="L64" s="2">
        <v>146</v>
      </c>
      <c r="M64">
        <v>0</v>
      </c>
      <c r="N64" t="str">
        <f>IF(Table1[[#This Row],[time]]&lt;60, "Critical", IF(Table1[[#This Row],[time]]&lt;120,"Under Obs","Normal"))</f>
        <v>Normal</v>
      </c>
    </row>
    <row r="65" spans="1:14" x14ac:dyDescent="0.3">
      <c r="A65" s="2">
        <v>50</v>
      </c>
      <c r="B65">
        <v>0</v>
      </c>
      <c r="C65" s="2">
        <v>582</v>
      </c>
      <c r="D65">
        <v>0</v>
      </c>
      <c r="E65" s="2">
        <v>50</v>
      </c>
      <c r="F65">
        <v>0</v>
      </c>
      <c r="G65" s="2">
        <v>153000</v>
      </c>
      <c r="H65" s="1">
        <v>0.6</v>
      </c>
      <c r="I65" s="2">
        <v>134</v>
      </c>
      <c r="J65">
        <v>0</v>
      </c>
      <c r="K65">
        <v>0</v>
      </c>
      <c r="L65" s="2">
        <v>172</v>
      </c>
      <c r="M65">
        <v>1</v>
      </c>
      <c r="N65" t="str">
        <f>IF(Table1[[#This Row],[time]]&lt;60, "Critical", IF(Table1[[#This Row],[time]]&lt;120,"Under Obs","Normal"))</f>
        <v>Normal</v>
      </c>
    </row>
    <row r="66" spans="1:14" x14ac:dyDescent="0.3">
      <c r="A66" s="2">
        <v>50</v>
      </c>
      <c r="B66">
        <v>1</v>
      </c>
      <c r="C66" s="2">
        <v>121</v>
      </c>
      <c r="D66">
        <v>1</v>
      </c>
      <c r="E66" s="2">
        <v>40</v>
      </c>
      <c r="F66">
        <v>0</v>
      </c>
      <c r="G66" s="2">
        <v>260000</v>
      </c>
      <c r="H66" s="1">
        <v>0.7</v>
      </c>
      <c r="I66" s="2">
        <v>130</v>
      </c>
      <c r="J66">
        <v>1</v>
      </c>
      <c r="K66">
        <v>0</v>
      </c>
      <c r="L66" s="2">
        <v>175</v>
      </c>
      <c r="M66">
        <v>0</v>
      </c>
      <c r="N66" t="str">
        <f>IF(Table1[[#This Row],[time]]&lt;60, "Critical", IF(Table1[[#This Row],[time]]&lt;120,"Under Obs","Normal"))</f>
        <v>Normal</v>
      </c>
    </row>
    <row r="67" spans="1:14" x14ac:dyDescent="0.3">
      <c r="A67" s="2">
        <v>50</v>
      </c>
      <c r="B67">
        <v>1</v>
      </c>
      <c r="C67" s="2">
        <v>582</v>
      </c>
      <c r="D67">
        <v>1</v>
      </c>
      <c r="E67" s="2">
        <v>20</v>
      </c>
      <c r="F67">
        <v>1</v>
      </c>
      <c r="G67" s="2">
        <v>279000</v>
      </c>
      <c r="H67" s="1">
        <v>1</v>
      </c>
      <c r="I67" s="2">
        <v>134</v>
      </c>
      <c r="J67">
        <v>0</v>
      </c>
      <c r="K67">
        <v>0</v>
      </c>
      <c r="L67" s="2">
        <v>186</v>
      </c>
      <c r="M67">
        <v>0</v>
      </c>
      <c r="N67" t="str">
        <f>IF(Table1[[#This Row],[time]]&lt;60, "Critical", IF(Table1[[#This Row],[time]]&lt;120,"Under Obs","Normal"))</f>
        <v>Normal</v>
      </c>
    </row>
    <row r="68" spans="1:14" x14ac:dyDescent="0.3">
      <c r="A68" s="2">
        <v>50</v>
      </c>
      <c r="B68">
        <v>1</v>
      </c>
      <c r="C68" s="2">
        <v>167</v>
      </c>
      <c r="D68">
        <v>1</v>
      </c>
      <c r="E68" s="2">
        <v>45</v>
      </c>
      <c r="F68">
        <v>0</v>
      </c>
      <c r="G68" s="2">
        <v>362000</v>
      </c>
      <c r="H68" s="1">
        <v>1</v>
      </c>
      <c r="I68" s="2">
        <v>136</v>
      </c>
      <c r="J68">
        <v>0</v>
      </c>
      <c r="K68">
        <v>0</v>
      </c>
      <c r="L68" s="2">
        <v>187</v>
      </c>
      <c r="M68">
        <v>0</v>
      </c>
      <c r="N68" t="str">
        <f>IF(Table1[[#This Row],[time]]&lt;60, "Critical", IF(Table1[[#This Row],[time]]&lt;120,"Under Obs","Normal"))</f>
        <v>Normal</v>
      </c>
    </row>
    <row r="69" spans="1:14" x14ac:dyDescent="0.3">
      <c r="A69" s="2">
        <v>50</v>
      </c>
      <c r="B69">
        <v>0</v>
      </c>
      <c r="C69" s="2">
        <v>582</v>
      </c>
      <c r="D69">
        <v>0</v>
      </c>
      <c r="E69" s="2">
        <v>62</v>
      </c>
      <c r="F69">
        <v>1</v>
      </c>
      <c r="G69" s="2">
        <v>147000</v>
      </c>
      <c r="H69" s="1">
        <v>0.8</v>
      </c>
      <c r="I69" s="2">
        <v>140</v>
      </c>
      <c r="J69">
        <v>1</v>
      </c>
      <c r="K69">
        <v>1</v>
      </c>
      <c r="L69" s="2">
        <v>192</v>
      </c>
      <c r="M69">
        <v>0</v>
      </c>
      <c r="N69" t="str">
        <f>IF(Table1[[#This Row],[time]]&lt;60, "Critical", IF(Table1[[#This Row],[time]]&lt;120,"Under Obs","Normal"))</f>
        <v>Normal</v>
      </c>
    </row>
    <row r="70" spans="1:14" x14ac:dyDescent="0.3">
      <c r="A70" s="2">
        <v>50</v>
      </c>
      <c r="B70">
        <v>0</v>
      </c>
      <c r="C70" s="2">
        <v>2522</v>
      </c>
      <c r="D70">
        <v>0</v>
      </c>
      <c r="E70" s="2">
        <v>30</v>
      </c>
      <c r="F70">
        <v>1</v>
      </c>
      <c r="G70" s="2">
        <v>404000</v>
      </c>
      <c r="H70" s="1">
        <v>0.5</v>
      </c>
      <c r="I70" s="2">
        <v>139</v>
      </c>
      <c r="J70">
        <v>0</v>
      </c>
      <c r="K70">
        <v>0</v>
      </c>
      <c r="L70" s="2">
        <v>214</v>
      </c>
      <c r="M70">
        <v>0</v>
      </c>
      <c r="N70" t="str">
        <f>IF(Table1[[#This Row],[time]]&lt;60, "Critical", IF(Table1[[#This Row],[time]]&lt;120,"Under Obs","Normal"))</f>
        <v>Normal</v>
      </c>
    </row>
    <row r="71" spans="1:14" x14ac:dyDescent="0.3">
      <c r="A71" s="2">
        <v>50</v>
      </c>
      <c r="B71">
        <v>0</v>
      </c>
      <c r="C71" s="2">
        <v>245</v>
      </c>
      <c r="D71">
        <v>0</v>
      </c>
      <c r="E71" s="2">
        <v>45</v>
      </c>
      <c r="F71">
        <v>1</v>
      </c>
      <c r="G71" s="2">
        <v>274000</v>
      </c>
      <c r="H71" s="1">
        <v>1</v>
      </c>
      <c r="I71" s="2">
        <v>133</v>
      </c>
      <c r="J71">
        <v>1</v>
      </c>
      <c r="K71">
        <v>0</v>
      </c>
      <c r="L71" s="2">
        <v>215</v>
      </c>
      <c r="M71">
        <v>0</v>
      </c>
      <c r="N71" t="str">
        <f>IF(Table1[[#This Row],[time]]&lt;60, "Critical", IF(Table1[[#This Row],[time]]&lt;120,"Under Obs","Normal"))</f>
        <v>Normal</v>
      </c>
    </row>
    <row r="72" spans="1:14" x14ac:dyDescent="0.3">
      <c r="A72" s="2">
        <v>50</v>
      </c>
      <c r="B72">
        <v>1</v>
      </c>
      <c r="C72" s="2">
        <v>298</v>
      </c>
      <c r="D72">
        <v>0</v>
      </c>
      <c r="E72" s="2">
        <v>35</v>
      </c>
      <c r="F72">
        <v>0</v>
      </c>
      <c r="G72" s="2">
        <v>362000</v>
      </c>
      <c r="H72" s="1">
        <v>0.9</v>
      </c>
      <c r="I72" s="2">
        <v>140</v>
      </c>
      <c r="J72">
        <v>1</v>
      </c>
      <c r="K72">
        <v>1</v>
      </c>
      <c r="L72" s="2">
        <v>240</v>
      </c>
      <c r="M72">
        <v>0</v>
      </c>
      <c r="N72" t="str">
        <f>IF(Table1[[#This Row],[time]]&lt;60, "Critical", IF(Table1[[#This Row],[time]]&lt;120,"Under Obs","Normal"))</f>
        <v>Normal</v>
      </c>
    </row>
    <row r="73" spans="1:14" x14ac:dyDescent="0.3">
      <c r="A73" s="2">
        <v>50</v>
      </c>
      <c r="B73">
        <v>1</v>
      </c>
      <c r="C73" s="2">
        <v>1051</v>
      </c>
      <c r="D73">
        <v>1</v>
      </c>
      <c r="E73" s="2">
        <v>30</v>
      </c>
      <c r="F73">
        <v>0</v>
      </c>
      <c r="G73" s="2">
        <v>232000</v>
      </c>
      <c r="H73" s="1">
        <v>0.7</v>
      </c>
      <c r="I73" s="2">
        <v>136</v>
      </c>
      <c r="J73">
        <v>0</v>
      </c>
      <c r="K73">
        <v>0</v>
      </c>
      <c r="L73" s="2">
        <v>246</v>
      </c>
      <c r="M73">
        <v>0</v>
      </c>
      <c r="N73" t="str">
        <f>IF(Table1[[#This Row],[time]]&lt;60, "Critical", IF(Table1[[#This Row],[time]]&lt;120,"Under Obs","Normal"))</f>
        <v>Normal</v>
      </c>
    </row>
    <row r="74" spans="1:14" x14ac:dyDescent="0.3">
      <c r="A74" s="2">
        <v>50</v>
      </c>
      <c r="B74">
        <v>1</v>
      </c>
      <c r="C74" s="2">
        <v>54</v>
      </c>
      <c r="D74">
        <v>0</v>
      </c>
      <c r="E74" s="2">
        <v>40</v>
      </c>
      <c r="F74">
        <v>0</v>
      </c>
      <c r="G74" s="2">
        <v>279000</v>
      </c>
      <c r="H74" s="1">
        <v>0.8</v>
      </c>
      <c r="I74" s="2">
        <v>141</v>
      </c>
      <c r="J74">
        <v>1</v>
      </c>
      <c r="K74">
        <v>0</v>
      </c>
      <c r="L74" s="2">
        <v>250</v>
      </c>
      <c r="M74">
        <v>0</v>
      </c>
      <c r="N74" t="str">
        <f>IF(Table1[[#This Row],[time]]&lt;60, "Critical", IF(Table1[[#This Row],[time]]&lt;120,"Under Obs","Normal"))</f>
        <v>Normal</v>
      </c>
    </row>
    <row r="75" spans="1:14" x14ac:dyDescent="0.3">
      <c r="A75" s="2">
        <v>50</v>
      </c>
      <c r="B75">
        <v>0</v>
      </c>
      <c r="C75" s="2">
        <v>196</v>
      </c>
      <c r="D75">
        <v>0</v>
      </c>
      <c r="E75" s="2">
        <v>45</v>
      </c>
      <c r="F75">
        <v>0</v>
      </c>
      <c r="G75" s="2">
        <v>395000</v>
      </c>
      <c r="H75" s="1">
        <v>1.6</v>
      </c>
      <c r="I75" s="2">
        <v>136</v>
      </c>
      <c r="J75">
        <v>1</v>
      </c>
      <c r="K75">
        <v>1</v>
      </c>
      <c r="L75" s="2">
        <v>285</v>
      </c>
      <c r="M75">
        <v>0</v>
      </c>
      <c r="N75" t="str">
        <f>IF(Table1[[#This Row],[time]]&lt;60, "Critical", IF(Table1[[#This Row],[time]]&lt;120,"Under Obs","Normal"))</f>
        <v>Normal</v>
      </c>
    </row>
    <row r="76" spans="1:14" x14ac:dyDescent="0.3">
      <c r="A76" s="2">
        <v>51</v>
      </c>
      <c r="B76">
        <v>0</v>
      </c>
      <c r="C76" s="2">
        <v>1380</v>
      </c>
      <c r="D76">
        <v>0</v>
      </c>
      <c r="E76" s="2">
        <v>25</v>
      </c>
      <c r="F76">
        <v>1</v>
      </c>
      <c r="G76" s="2">
        <v>271000</v>
      </c>
      <c r="H76" s="1">
        <v>0.9</v>
      </c>
      <c r="I76" s="2">
        <v>130</v>
      </c>
      <c r="J76">
        <v>1</v>
      </c>
      <c r="K76">
        <v>0</v>
      </c>
      <c r="L76" s="2">
        <v>38</v>
      </c>
      <c r="M76">
        <v>1</v>
      </c>
      <c r="N76" t="str">
        <f>IF(Table1[[#This Row],[time]]&lt;60, "Critical", IF(Table1[[#This Row],[time]]&lt;120,"Under Obs","Normal"))</f>
        <v>Critical</v>
      </c>
    </row>
    <row r="77" spans="1:14" x14ac:dyDescent="0.3">
      <c r="A77" s="2">
        <v>51</v>
      </c>
      <c r="B77">
        <v>0</v>
      </c>
      <c r="C77" s="2">
        <v>78</v>
      </c>
      <c r="D77">
        <v>0</v>
      </c>
      <c r="E77" s="2">
        <v>50</v>
      </c>
      <c r="F77">
        <v>0</v>
      </c>
      <c r="G77" s="2">
        <v>406000</v>
      </c>
      <c r="H77" s="1">
        <v>0.7</v>
      </c>
      <c r="I77" s="2">
        <v>140</v>
      </c>
      <c r="J77">
        <v>1</v>
      </c>
      <c r="K77">
        <v>0</v>
      </c>
      <c r="L77" s="2">
        <v>79</v>
      </c>
      <c r="M77">
        <v>0</v>
      </c>
      <c r="N77" t="str">
        <f>IF(Table1[[#This Row],[time]]&lt;60, "Critical", IF(Table1[[#This Row],[time]]&lt;120,"Under Obs","Normal"))</f>
        <v>Under Obs</v>
      </c>
    </row>
    <row r="78" spans="1:14" x14ac:dyDescent="0.3">
      <c r="A78" s="2">
        <v>51</v>
      </c>
      <c r="B78">
        <v>1</v>
      </c>
      <c r="C78" s="2">
        <v>582</v>
      </c>
      <c r="D78">
        <v>1</v>
      </c>
      <c r="E78" s="2">
        <v>35</v>
      </c>
      <c r="F78">
        <v>0</v>
      </c>
      <c r="G78" s="2">
        <v>263358.03000000003</v>
      </c>
      <c r="H78" s="1">
        <v>1.5</v>
      </c>
      <c r="I78" s="2">
        <v>136</v>
      </c>
      <c r="J78">
        <v>1</v>
      </c>
      <c r="K78">
        <v>1</v>
      </c>
      <c r="L78" s="2">
        <v>145</v>
      </c>
      <c r="M78">
        <v>0</v>
      </c>
      <c r="N78" t="str">
        <f>IF(Table1[[#This Row],[time]]&lt;60, "Critical", IF(Table1[[#This Row],[time]]&lt;120,"Under Obs","Normal"))</f>
        <v>Normal</v>
      </c>
    </row>
    <row r="79" spans="1:14" x14ac:dyDescent="0.3">
      <c r="A79" s="2">
        <v>51</v>
      </c>
      <c r="B79">
        <v>0</v>
      </c>
      <c r="C79" s="2">
        <v>582</v>
      </c>
      <c r="D79">
        <v>1</v>
      </c>
      <c r="E79" s="2">
        <v>40</v>
      </c>
      <c r="F79">
        <v>0</v>
      </c>
      <c r="G79" s="2">
        <v>221000</v>
      </c>
      <c r="H79" s="1">
        <v>0.9</v>
      </c>
      <c r="I79" s="2">
        <v>134</v>
      </c>
      <c r="J79">
        <v>0</v>
      </c>
      <c r="K79">
        <v>0</v>
      </c>
      <c r="L79" s="2">
        <v>244</v>
      </c>
      <c r="M79">
        <v>0</v>
      </c>
      <c r="N79" t="str">
        <f>IF(Table1[[#This Row],[time]]&lt;60, "Critical", IF(Table1[[#This Row],[time]]&lt;120,"Under Obs","Normal"))</f>
        <v>Normal</v>
      </c>
    </row>
    <row r="80" spans="1:14" x14ac:dyDescent="0.3">
      <c r="A80" s="2">
        <v>52</v>
      </c>
      <c r="B80">
        <v>0</v>
      </c>
      <c r="C80" s="2">
        <v>132</v>
      </c>
      <c r="D80">
        <v>0</v>
      </c>
      <c r="E80" s="2">
        <v>30</v>
      </c>
      <c r="F80">
        <v>0</v>
      </c>
      <c r="G80" s="2">
        <v>218000</v>
      </c>
      <c r="H80" s="1">
        <v>0.7</v>
      </c>
      <c r="I80" s="2">
        <v>136</v>
      </c>
      <c r="J80">
        <v>1</v>
      </c>
      <c r="K80">
        <v>1</v>
      </c>
      <c r="L80" s="2">
        <v>112</v>
      </c>
      <c r="M80">
        <v>0</v>
      </c>
      <c r="N80" t="str">
        <f>IF(Table1[[#This Row],[time]]&lt;60, "Critical", IF(Table1[[#This Row],[time]]&lt;120,"Under Obs","Normal"))</f>
        <v>Under Obs</v>
      </c>
    </row>
    <row r="81" spans="1:14" x14ac:dyDescent="0.3">
      <c r="A81" s="2">
        <v>52</v>
      </c>
      <c r="B81">
        <v>1</v>
      </c>
      <c r="C81" s="2">
        <v>58</v>
      </c>
      <c r="D81">
        <v>0</v>
      </c>
      <c r="E81" s="2">
        <v>35</v>
      </c>
      <c r="F81">
        <v>0</v>
      </c>
      <c r="G81" s="2">
        <v>277000</v>
      </c>
      <c r="H81" s="1">
        <v>1.4</v>
      </c>
      <c r="I81" s="2">
        <v>136</v>
      </c>
      <c r="J81">
        <v>0</v>
      </c>
      <c r="K81">
        <v>0</v>
      </c>
      <c r="L81" s="2">
        <v>120</v>
      </c>
      <c r="M81">
        <v>0</v>
      </c>
      <c r="N81" t="str">
        <f>IF(Table1[[#This Row],[time]]&lt;60, "Critical", IF(Table1[[#This Row],[time]]&lt;120,"Under Obs","Normal"))</f>
        <v>Normal</v>
      </c>
    </row>
    <row r="82" spans="1:14" x14ac:dyDescent="0.3">
      <c r="A82" s="2">
        <v>52</v>
      </c>
      <c r="B82">
        <v>0</v>
      </c>
      <c r="C82" s="2">
        <v>3966</v>
      </c>
      <c r="D82">
        <v>0</v>
      </c>
      <c r="E82" s="2">
        <v>40</v>
      </c>
      <c r="F82">
        <v>0</v>
      </c>
      <c r="G82" s="2">
        <v>325000</v>
      </c>
      <c r="H82" s="1">
        <v>0.9</v>
      </c>
      <c r="I82" s="2">
        <v>140</v>
      </c>
      <c r="J82">
        <v>1</v>
      </c>
      <c r="K82">
        <v>1</v>
      </c>
      <c r="L82" s="2">
        <v>146</v>
      </c>
      <c r="M82">
        <v>0</v>
      </c>
      <c r="N82" t="str">
        <f>IF(Table1[[#This Row],[time]]&lt;60, "Critical", IF(Table1[[#This Row],[time]]&lt;120,"Under Obs","Normal"))</f>
        <v>Normal</v>
      </c>
    </row>
    <row r="83" spans="1:14" x14ac:dyDescent="0.3">
      <c r="A83" s="2">
        <v>52</v>
      </c>
      <c r="B83">
        <v>1</v>
      </c>
      <c r="C83" s="2">
        <v>191</v>
      </c>
      <c r="D83">
        <v>1</v>
      </c>
      <c r="E83" s="2">
        <v>30</v>
      </c>
      <c r="F83">
        <v>1</v>
      </c>
      <c r="G83" s="2">
        <v>334000</v>
      </c>
      <c r="H83" s="1">
        <v>1</v>
      </c>
      <c r="I83" s="2">
        <v>142</v>
      </c>
      <c r="J83">
        <v>1</v>
      </c>
      <c r="K83">
        <v>1</v>
      </c>
      <c r="L83" s="2">
        <v>216</v>
      </c>
      <c r="M83">
        <v>0</v>
      </c>
      <c r="N83" t="str">
        <f>IF(Table1[[#This Row],[time]]&lt;60, "Critical", IF(Table1[[#This Row],[time]]&lt;120,"Under Obs","Normal"))</f>
        <v>Normal</v>
      </c>
    </row>
    <row r="84" spans="1:14" x14ac:dyDescent="0.3">
      <c r="A84" s="2">
        <v>52</v>
      </c>
      <c r="B84">
        <v>0</v>
      </c>
      <c r="C84" s="2">
        <v>190</v>
      </c>
      <c r="D84">
        <v>1</v>
      </c>
      <c r="E84" s="2">
        <v>38</v>
      </c>
      <c r="F84">
        <v>0</v>
      </c>
      <c r="G84" s="2">
        <v>382000</v>
      </c>
      <c r="H84" s="1">
        <v>1</v>
      </c>
      <c r="I84" s="2">
        <v>140</v>
      </c>
      <c r="J84">
        <v>1</v>
      </c>
      <c r="K84">
        <v>1</v>
      </c>
      <c r="L84" s="2">
        <v>258</v>
      </c>
      <c r="M84">
        <v>0</v>
      </c>
      <c r="N84" t="str">
        <f>IF(Table1[[#This Row],[time]]&lt;60, "Critical", IF(Table1[[#This Row],[time]]&lt;120,"Under Obs","Normal"))</f>
        <v>Normal</v>
      </c>
    </row>
    <row r="85" spans="1:14" x14ac:dyDescent="0.3">
      <c r="A85" s="2">
        <v>53</v>
      </c>
      <c r="B85">
        <v>0</v>
      </c>
      <c r="C85" s="2">
        <v>63</v>
      </c>
      <c r="D85">
        <v>1</v>
      </c>
      <c r="E85" s="2">
        <v>60</v>
      </c>
      <c r="F85">
        <v>0</v>
      </c>
      <c r="G85" s="2">
        <v>368000</v>
      </c>
      <c r="H85" s="1">
        <v>0.8</v>
      </c>
      <c r="I85" s="2">
        <v>135</v>
      </c>
      <c r="J85">
        <v>1</v>
      </c>
      <c r="K85">
        <v>0</v>
      </c>
      <c r="L85" s="2">
        <v>22</v>
      </c>
      <c r="M85">
        <v>0</v>
      </c>
      <c r="N85" t="str">
        <f>IF(Table1[[#This Row],[time]]&lt;60, "Critical", IF(Table1[[#This Row],[time]]&lt;120,"Under Obs","Normal"))</f>
        <v>Critical</v>
      </c>
    </row>
    <row r="86" spans="1:14" x14ac:dyDescent="0.3">
      <c r="A86" s="2">
        <v>53</v>
      </c>
      <c r="B86">
        <v>1</v>
      </c>
      <c r="C86" s="2">
        <v>91</v>
      </c>
      <c r="D86">
        <v>0</v>
      </c>
      <c r="E86" s="2">
        <v>20</v>
      </c>
      <c r="F86">
        <v>1</v>
      </c>
      <c r="G86" s="2">
        <v>418000</v>
      </c>
      <c r="H86" s="1">
        <v>1.4</v>
      </c>
      <c r="I86" s="2">
        <v>139</v>
      </c>
      <c r="J86">
        <v>0</v>
      </c>
      <c r="K86">
        <v>0</v>
      </c>
      <c r="L86" s="2">
        <v>43</v>
      </c>
      <c r="M86">
        <v>1</v>
      </c>
      <c r="N86" t="str">
        <f>IF(Table1[[#This Row],[time]]&lt;60, "Critical", IF(Table1[[#This Row],[time]]&lt;120,"Under Obs","Normal"))</f>
        <v>Critical</v>
      </c>
    </row>
    <row r="87" spans="1:14" x14ac:dyDescent="0.3">
      <c r="A87" s="2">
        <v>53</v>
      </c>
      <c r="B87">
        <v>1</v>
      </c>
      <c r="C87" s="2">
        <v>270</v>
      </c>
      <c r="D87">
        <v>1</v>
      </c>
      <c r="E87" s="2">
        <v>35</v>
      </c>
      <c r="F87">
        <v>0</v>
      </c>
      <c r="G87" s="2">
        <v>227000</v>
      </c>
      <c r="H87" s="1">
        <v>3.4</v>
      </c>
      <c r="I87" s="2">
        <v>145</v>
      </c>
      <c r="J87">
        <v>1</v>
      </c>
      <c r="K87">
        <v>0</v>
      </c>
      <c r="L87" s="2">
        <v>105</v>
      </c>
      <c r="M87">
        <v>0</v>
      </c>
      <c r="N87" t="str">
        <f>IF(Table1[[#This Row],[time]]&lt;60, "Critical", IF(Table1[[#This Row],[time]]&lt;120,"Under Obs","Normal"))</f>
        <v>Under Obs</v>
      </c>
    </row>
    <row r="88" spans="1:14" x14ac:dyDescent="0.3">
      <c r="A88" s="2">
        <v>53</v>
      </c>
      <c r="B88">
        <v>1</v>
      </c>
      <c r="C88" s="2">
        <v>1808</v>
      </c>
      <c r="D88">
        <v>0</v>
      </c>
      <c r="E88" s="2">
        <v>60</v>
      </c>
      <c r="F88">
        <v>1</v>
      </c>
      <c r="G88" s="2">
        <v>249000</v>
      </c>
      <c r="H88" s="1">
        <v>0.7</v>
      </c>
      <c r="I88" s="2">
        <v>138</v>
      </c>
      <c r="J88">
        <v>1</v>
      </c>
      <c r="K88">
        <v>1</v>
      </c>
      <c r="L88" s="2">
        <v>106</v>
      </c>
      <c r="M88">
        <v>0</v>
      </c>
      <c r="N88" t="str">
        <f>IF(Table1[[#This Row],[time]]&lt;60, "Critical", IF(Table1[[#This Row],[time]]&lt;120,"Under Obs","Normal"))</f>
        <v>Under Obs</v>
      </c>
    </row>
    <row r="89" spans="1:14" x14ac:dyDescent="0.3">
      <c r="A89" s="2">
        <v>53</v>
      </c>
      <c r="B89">
        <v>0</v>
      </c>
      <c r="C89" s="2">
        <v>196</v>
      </c>
      <c r="D89">
        <v>0</v>
      </c>
      <c r="E89" s="2">
        <v>60</v>
      </c>
      <c r="F89">
        <v>0</v>
      </c>
      <c r="G89" s="2">
        <v>220000</v>
      </c>
      <c r="H89" s="1">
        <v>0.7</v>
      </c>
      <c r="I89" s="2">
        <v>133</v>
      </c>
      <c r="J89">
        <v>1</v>
      </c>
      <c r="K89">
        <v>1</v>
      </c>
      <c r="L89" s="2">
        <v>134</v>
      </c>
      <c r="M89">
        <v>0</v>
      </c>
      <c r="N89" t="str">
        <f>IF(Table1[[#This Row],[time]]&lt;60, "Critical", IF(Table1[[#This Row],[time]]&lt;120,"Under Obs","Normal"))</f>
        <v>Normal</v>
      </c>
    </row>
    <row r="90" spans="1:14" x14ac:dyDescent="0.3">
      <c r="A90" s="2">
        <v>53</v>
      </c>
      <c r="B90">
        <v>1</v>
      </c>
      <c r="C90" s="2">
        <v>707</v>
      </c>
      <c r="D90">
        <v>0</v>
      </c>
      <c r="E90" s="2">
        <v>38</v>
      </c>
      <c r="F90">
        <v>0</v>
      </c>
      <c r="G90" s="2">
        <v>330000</v>
      </c>
      <c r="H90" s="1">
        <v>1.4</v>
      </c>
      <c r="I90" s="2">
        <v>137</v>
      </c>
      <c r="J90">
        <v>1</v>
      </c>
      <c r="K90">
        <v>1</v>
      </c>
      <c r="L90" s="2">
        <v>209</v>
      </c>
      <c r="M90">
        <v>0</v>
      </c>
      <c r="N90" t="str">
        <f>IF(Table1[[#This Row],[time]]&lt;60, "Critical", IF(Table1[[#This Row],[time]]&lt;120,"Under Obs","Normal"))</f>
        <v>Normal</v>
      </c>
    </row>
    <row r="91" spans="1:14" x14ac:dyDescent="0.3">
      <c r="A91" s="2">
        <v>53</v>
      </c>
      <c r="B91">
        <v>1</v>
      </c>
      <c r="C91" s="2">
        <v>582</v>
      </c>
      <c r="D91">
        <v>0</v>
      </c>
      <c r="E91" s="2">
        <v>45</v>
      </c>
      <c r="F91">
        <v>0</v>
      </c>
      <c r="G91" s="2">
        <v>305000</v>
      </c>
      <c r="H91" s="1">
        <v>1.1000000000000001</v>
      </c>
      <c r="I91" s="2">
        <v>137</v>
      </c>
      <c r="J91">
        <v>1</v>
      </c>
      <c r="K91">
        <v>1</v>
      </c>
      <c r="L91" s="2">
        <v>209</v>
      </c>
      <c r="M91">
        <v>0</v>
      </c>
      <c r="N91" t="str">
        <f>IF(Table1[[#This Row],[time]]&lt;60, "Critical", IF(Table1[[#This Row],[time]]&lt;120,"Under Obs","Normal"))</f>
        <v>Normal</v>
      </c>
    </row>
    <row r="92" spans="1:14" x14ac:dyDescent="0.3">
      <c r="A92" s="2">
        <v>53</v>
      </c>
      <c r="B92">
        <v>0</v>
      </c>
      <c r="C92" s="2">
        <v>207</v>
      </c>
      <c r="D92">
        <v>1</v>
      </c>
      <c r="E92" s="2">
        <v>40</v>
      </c>
      <c r="F92">
        <v>0</v>
      </c>
      <c r="G92" s="2">
        <v>223000</v>
      </c>
      <c r="H92" s="1">
        <v>1.2</v>
      </c>
      <c r="I92" s="2">
        <v>130</v>
      </c>
      <c r="J92">
        <v>0</v>
      </c>
      <c r="K92">
        <v>0</v>
      </c>
      <c r="L92" s="2">
        <v>214</v>
      </c>
      <c r="M92">
        <v>0</v>
      </c>
      <c r="N92" t="str">
        <f>IF(Table1[[#This Row],[time]]&lt;60, "Critical", IF(Table1[[#This Row],[time]]&lt;120,"Under Obs","Normal"))</f>
        <v>Normal</v>
      </c>
    </row>
    <row r="93" spans="1:14" x14ac:dyDescent="0.3">
      <c r="A93" s="2">
        <v>53</v>
      </c>
      <c r="B93">
        <v>1</v>
      </c>
      <c r="C93" s="2">
        <v>446</v>
      </c>
      <c r="D93">
        <v>0</v>
      </c>
      <c r="E93" s="2">
        <v>60</v>
      </c>
      <c r="F93">
        <v>1</v>
      </c>
      <c r="G93" s="2">
        <v>263358.03000000003</v>
      </c>
      <c r="H93" s="1">
        <v>1</v>
      </c>
      <c r="I93" s="2">
        <v>139</v>
      </c>
      <c r="J93">
        <v>1</v>
      </c>
      <c r="K93">
        <v>0</v>
      </c>
      <c r="L93" s="2">
        <v>215</v>
      </c>
      <c r="M93">
        <v>0</v>
      </c>
      <c r="N93" t="str">
        <f>IF(Table1[[#This Row],[time]]&lt;60, "Critical", IF(Table1[[#This Row],[time]]&lt;120,"Under Obs","Normal"))</f>
        <v>Normal</v>
      </c>
    </row>
    <row r="94" spans="1:14" x14ac:dyDescent="0.3">
      <c r="A94" s="2">
        <v>53</v>
      </c>
      <c r="B94">
        <v>0</v>
      </c>
      <c r="C94" s="2">
        <v>56</v>
      </c>
      <c r="D94">
        <v>0</v>
      </c>
      <c r="E94" s="2">
        <v>50</v>
      </c>
      <c r="F94">
        <v>0</v>
      </c>
      <c r="G94" s="2">
        <v>308000</v>
      </c>
      <c r="H94" s="1">
        <v>0.7</v>
      </c>
      <c r="I94" s="2">
        <v>135</v>
      </c>
      <c r="J94">
        <v>1</v>
      </c>
      <c r="K94">
        <v>1</v>
      </c>
      <c r="L94" s="2">
        <v>231</v>
      </c>
      <c r="M94">
        <v>0</v>
      </c>
      <c r="N94" t="str">
        <f>IF(Table1[[#This Row],[time]]&lt;60, "Critical", IF(Table1[[#This Row],[time]]&lt;120,"Under Obs","Normal"))</f>
        <v>Normal</v>
      </c>
    </row>
    <row r="95" spans="1:14" x14ac:dyDescent="0.3">
      <c r="A95" s="2">
        <v>54</v>
      </c>
      <c r="B95">
        <v>1</v>
      </c>
      <c r="C95" s="2">
        <v>427</v>
      </c>
      <c r="D95">
        <v>0</v>
      </c>
      <c r="E95" s="2">
        <v>70</v>
      </c>
      <c r="F95">
        <v>1</v>
      </c>
      <c r="G95" s="2">
        <v>151000</v>
      </c>
      <c r="H95" s="1">
        <v>9</v>
      </c>
      <c r="I95" s="2">
        <v>137</v>
      </c>
      <c r="J95">
        <v>0</v>
      </c>
      <c r="K95">
        <v>0</v>
      </c>
      <c r="L95" s="2">
        <v>196</v>
      </c>
      <c r="M95">
        <v>1</v>
      </c>
      <c r="N95" t="str">
        <f>IF(Table1[[#This Row],[time]]&lt;60, "Critical", IF(Table1[[#This Row],[time]]&lt;120,"Under Obs","Normal"))</f>
        <v>Normal</v>
      </c>
    </row>
    <row r="96" spans="1:14" x14ac:dyDescent="0.3">
      <c r="A96" s="2">
        <v>54</v>
      </c>
      <c r="B96">
        <v>0</v>
      </c>
      <c r="C96" s="2">
        <v>582</v>
      </c>
      <c r="D96">
        <v>1</v>
      </c>
      <c r="E96" s="2">
        <v>38</v>
      </c>
      <c r="F96">
        <v>0</v>
      </c>
      <c r="G96" s="2">
        <v>264000</v>
      </c>
      <c r="H96" s="1">
        <v>1.8</v>
      </c>
      <c r="I96" s="2">
        <v>134</v>
      </c>
      <c r="J96">
        <v>1</v>
      </c>
      <c r="K96">
        <v>0</v>
      </c>
      <c r="L96" s="2">
        <v>213</v>
      </c>
      <c r="M96">
        <v>0</v>
      </c>
      <c r="N96" t="str">
        <f>IF(Table1[[#This Row],[time]]&lt;60, "Critical", IF(Table1[[#This Row],[time]]&lt;120,"Under Obs","Normal"))</f>
        <v>Normal</v>
      </c>
    </row>
    <row r="97" spans="1:14" x14ac:dyDescent="0.3">
      <c r="A97" s="2">
        <v>55</v>
      </c>
      <c r="B97">
        <v>0</v>
      </c>
      <c r="C97" s="2">
        <v>7861</v>
      </c>
      <c r="D97">
        <v>0</v>
      </c>
      <c r="E97" s="2">
        <v>38</v>
      </c>
      <c r="F97">
        <v>0</v>
      </c>
      <c r="G97" s="2">
        <v>263358.03000000003</v>
      </c>
      <c r="H97" s="1">
        <v>1.1000000000000001</v>
      </c>
      <c r="I97" s="2">
        <v>136</v>
      </c>
      <c r="J97">
        <v>1</v>
      </c>
      <c r="K97">
        <v>0</v>
      </c>
      <c r="L97" s="2">
        <v>6</v>
      </c>
      <c r="M97">
        <v>1</v>
      </c>
      <c r="N97" t="str">
        <f>IF(Table1[[#This Row],[time]]&lt;60, "Critical", IF(Table1[[#This Row],[time]]&lt;120,"Under Obs","Normal"))</f>
        <v>Critical</v>
      </c>
    </row>
    <row r="98" spans="1:14" x14ac:dyDescent="0.3">
      <c r="A98" s="2">
        <v>55</v>
      </c>
      <c r="B98">
        <v>0</v>
      </c>
      <c r="C98" s="2">
        <v>109</v>
      </c>
      <c r="D98">
        <v>0</v>
      </c>
      <c r="E98" s="2">
        <v>35</v>
      </c>
      <c r="F98">
        <v>0</v>
      </c>
      <c r="G98" s="2">
        <v>254000</v>
      </c>
      <c r="H98" s="1">
        <v>1.1000000000000001</v>
      </c>
      <c r="I98" s="2">
        <v>139</v>
      </c>
      <c r="J98">
        <v>1</v>
      </c>
      <c r="K98">
        <v>1</v>
      </c>
      <c r="L98" s="2">
        <v>60</v>
      </c>
      <c r="M98">
        <v>0</v>
      </c>
      <c r="N98" t="str">
        <f>IF(Table1[[#This Row],[time]]&lt;60, "Critical", IF(Table1[[#This Row],[time]]&lt;120,"Under Obs","Normal"))</f>
        <v>Under Obs</v>
      </c>
    </row>
    <row r="99" spans="1:14" x14ac:dyDescent="0.3">
      <c r="A99" s="2">
        <v>55</v>
      </c>
      <c r="B99">
        <v>0</v>
      </c>
      <c r="C99" s="2">
        <v>336</v>
      </c>
      <c r="D99">
        <v>0</v>
      </c>
      <c r="E99" s="2">
        <v>45</v>
      </c>
      <c r="F99">
        <v>1</v>
      </c>
      <c r="G99" s="2">
        <v>324000</v>
      </c>
      <c r="H99" s="1">
        <v>0.9</v>
      </c>
      <c r="I99" s="2">
        <v>140</v>
      </c>
      <c r="J99">
        <v>0</v>
      </c>
      <c r="K99">
        <v>0</v>
      </c>
      <c r="L99" s="2">
        <v>74</v>
      </c>
      <c r="M99">
        <v>0</v>
      </c>
      <c r="N99" t="str">
        <f>IF(Table1[[#This Row],[time]]&lt;60, "Critical", IF(Table1[[#This Row],[time]]&lt;120,"Under Obs","Normal"))</f>
        <v>Under Obs</v>
      </c>
    </row>
    <row r="100" spans="1:14" x14ac:dyDescent="0.3">
      <c r="A100" s="2">
        <v>55</v>
      </c>
      <c r="B100">
        <v>0</v>
      </c>
      <c r="C100" s="2">
        <v>47</v>
      </c>
      <c r="D100">
        <v>0</v>
      </c>
      <c r="E100" s="2">
        <v>35</v>
      </c>
      <c r="F100">
        <v>1</v>
      </c>
      <c r="G100" s="2">
        <v>173000</v>
      </c>
      <c r="H100" s="1">
        <v>1.1000000000000001</v>
      </c>
      <c r="I100" s="2">
        <v>137</v>
      </c>
      <c r="J100">
        <v>1</v>
      </c>
      <c r="K100">
        <v>0</v>
      </c>
      <c r="L100" s="2">
        <v>79</v>
      </c>
      <c r="M100">
        <v>0</v>
      </c>
      <c r="N100" t="str">
        <f>IF(Table1[[#This Row],[time]]&lt;60, "Critical", IF(Table1[[#This Row],[time]]&lt;120,"Under Obs","Normal"))</f>
        <v>Under Obs</v>
      </c>
    </row>
    <row r="101" spans="1:14" x14ac:dyDescent="0.3">
      <c r="A101" s="2">
        <v>55</v>
      </c>
      <c r="B101">
        <v>0</v>
      </c>
      <c r="C101" s="2">
        <v>748</v>
      </c>
      <c r="D101">
        <v>0</v>
      </c>
      <c r="E101" s="2">
        <v>45</v>
      </c>
      <c r="F101">
        <v>0</v>
      </c>
      <c r="G101" s="2">
        <v>263000</v>
      </c>
      <c r="H101" s="1">
        <v>1.3</v>
      </c>
      <c r="I101" s="2">
        <v>137</v>
      </c>
      <c r="J101">
        <v>1</v>
      </c>
      <c r="K101">
        <v>0</v>
      </c>
      <c r="L101" s="2">
        <v>88</v>
      </c>
      <c r="M101">
        <v>0</v>
      </c>
      <c r="N101" t="str">
        <f>IF(Table1[[#This Row],[time]]&lt;60, "Critical", IF(Table1[[#This Row],[time]]&lt;120,"Under Obs","Normal"))</f>
        <v>Under Obs</v>
      </c>
    </row>
    <row r="102" spans="1:14" x14ac:dyDescent="0.3">
      <c r="A102" s="2">
        <v>55</v>
      </c>
      <c r="B102">
        <v>0</v>
      </c>
      <c r="C102" s="2">
        <v>60</v>
      </c>
      <c r="D102">
        <v>0</v>
      </c>
      <c r="E102" s="2">
        <v>35</v>
      </c>
      <c r="F102">
        <v>0</v>
      </c>
      <c r="G102" s="2">
        <v>228000</v>
      </c>
      <c r="H102" s="1">
        <v>1.2</v>
      </c>
      <c r="I102" s="2">
        <v>135</v>
      </c>
      <c r="J102">
        <v>1</v>
      </c>
      <c r="K102">
        <v>1</v>
      </c>
      <c r="L102" s="2">
        <v>90</v>
      </c>
      <c r="M102">
        <v>0</v>
      </c>
      <c r="N102" t="str">
        <f>IF(Table1[[#This Row],[time]]&lt;60, "Critical", IF(Table1[[#This Row],[time]]&lt;120,"Under Obs","Normal"))</f>
        <v>Under Obs</v>
      </c>
    </row>
    <row r="103" spans="1:14" x14ac:dyDescent="0.3">
      <c r="A103" s="2">
        <v>55</v>
      </c>
      <c r="B103">
        <v>0</v>
      </c>
      <c r="C103" s="2">
        <v>835</v>
      </c>
      <c r="D103">
        <v>0</v>
      </c>
      <c r="E103" s="2">
        <v>40</v>
      </c>
      <c r="F103">
        <v>0</v>
      </c>
      <c r="G103" s="2">
        <v>279000</v>
      </c>
      <c r="H103" s="1">
        <v>0.7</v>
      </c>
      <c r="I103" s="2">
        <v>140</v>
      </c>
      <c r="J103">
        <v>1</v>
      </c>
      <c r="K103">
        <v>1</v>
      </c>
      <c r="L103" s="2">
        <v>147</v>
      </c>
      <c r="M103">
        <v>0</v>
      </c>
      <c r="N103" t="str">
        <f>IF(Table1[[#This Row],[time]]&lt;60, "Critical", IF(Table1[[#This Row],[time]]&lt;120,"Under Obs","Normal"))</f>
        <v>Normal</v>
      </c>
    </row>
    <row r="104" spans="1:14" x14ac:dyDescent="0.3">
      <c r="A104" s="2">
        <v>55</v>
      </c>
      <c r="B104">
        <v>0</v>
      </c>
      <c r="C104" s="2">
        <v>582</v>
      </c>
      <c r="D104">
        <v>1</v>
      </c>
      <c r="E104" s="2">
        <v>35</v>
      </c>
      <c r="F104">
        <v>1</v>
      </c>
      <c r="G104" s="2">
        <v>371000</v>
      </c>
      <c r="H104" s="1">
        <v>0.7</v>
      </c>
      <c r="I104" s="2">
        <v>140</v>
      </c>
      <c r="J104">
        <v>0</v>
      </c>
      <c r="K104">
        <v>0</v>
      </c>
      <c r="L104" s="2">
        <v>197</v>
      </c>
      <c r="M104">
        <v>0</v>
      </c>
      <c r="N104" t="str">
        <f>IF(Table1[[#This Row],[time]]&lt;60, "Critical", IF(Table1[[#This Row],[time]]&lt;120,"Under Obs","Normal"))</f>
        <v>Normal</v>
      </c>
    </row>
    <row r="105" spans="1:14" x14ac:dyDescent="0.3">
      <c r="A105" s="2">
        <v>55</v>
      </c>
      <c r="B105">
        <v>1</v>
      </c>
      <c r="C105" s="2">
        <v>2794</v>
      </c>
      <c r="D105">
        <v>0</v>
      </c>
      <c r="E105" s="2">
        <v>35</v>
      </c>
      <c r="F105">
        <v>1</v>
      </c>
      <c r="G105" s="2">
        <v>141000</v>
      </c>
      <c r="H105" s="1">
        <v>1</v>
      </c>
      <c r="I105" s="2">
        <v>140</v>
      </c>
      <c r="J105">
        <v>1</v>
      </c>
      <c r="K105">
        <v>0</v>
      </c>
      <c r="L105" s="2">
        <v>206</v>
      </c>
      <c r="M105">
        <v>0</v>
      </c>
      <c r="N105" t="str">
        <f>IF(Table1[[#This Row],[time]]&lt;60, "Critical", IF(Table1[[#This Row],[time]]&lt;120,"Under Obs","Normal"))</f>
        <v>Normal</v>
      </c>
    </row>
    <row r="106" spans="1:14" x14ac:dyDescent="0.3">
      <c r="A106" s="2">
        <v>55</v>
      </c>
      <c r="B106">
        <v>1</v>
      </c>
      <c r="C106" s="2">
        <v>180</v>
      </c>
      <c r="D106">
        <v>0</v>
      </c>
      <c r="E106" s="2">
        <v>45</v>
      </c>
      <c r="F106">
        <v>0</v>
      </c>
      <c r="G106" s="2">
        <v>263358.03000000003</v>
      </c>
      <c r="H106" s="1">
        <v>1.18</v>
      </c>
      <c r="I106" s="2">
        <v>137</v>
      </c>
      <c r="J106">
        <v>1</v>
      </c>
      <c r="K106">
        <v>1</v>
      </c>
      <c r="L106" s="2">
        <v>211</v>
      </c>
      <c r="M106">
        <v>0</v>
      </c>
      <c r="N106" t="str">
        <f>IF(Table1[[#This Row],[time]]&lt;60, "Critical", IF(Table1[[#This Row],[time]]&lt;120,"Under Obs","Normal"))</f>
        <v>Normal</v>
      </c>
    </row>
    <row r="107" spans="1:14" x14ac:dyDescent="0.3">
      <c r="A107" s="2">
        <v>55</v>
      </c>
      <c r="B107">
        <v>0</v>
      </c>
      <c r="C107" s="2">
        <v>2017</v>
      </c>
      <c r="D107">
        <v>0</v>
      </c>
      <c r="E107" s="2">
        <v>25</v>
      </c>
      <c r="F107">
        <v>0</v>
      </c>
      <c r="G107" s="2">
        <v>314000</v>
      </c>
      <c r="H107" s="1">
        <v>1.1000000000000001</v>
      </c>
      <c r="I107" s="2">
        <v>138</v>
      </c>
      <c r="J107">
        <v>1</v>
      </c>
      <c r="K107">
        <v>0</v>
      </c>
      <c r="L107" s="2">
        <v>214</v>
      </c>
      <c r="M107">
        <v>1</v>
      </c>
      <c r="N107" t="str">
        <f>IF(Table1[[#This Row],[time]]&lt;60, "Critical", IF(Table1[[#This Row],[time]]&lt;120,"Under Obs","Normal"))</f>
        <v>Normal</v>
      </c>
    </row>
    <row r="108" spans="1:14" x14ac:dyDescent="0.3">
      <c r="A108" s="2">
        <v>55</v>
      </c>
      <c r="B108">
        <v>0</v>
      </c>
      <c r="C108" s="2">
        <v>572</v>
      </c>
      <c r="D108">
        <v>1</v>
      </c>
      <c r="E108" s="2">
        <v>35</v>
      </c>
      <c r="F108">
        <v>0</v>
      </c>
      <c r="G108" s="2">
        <v>231000</v>
      </c>
      <c r="H108" s="1">
        <v>0.8</v>
      </c>
      <c r="I108" s="2">
        <v>143</v>
      </c>
      <c r="J108">
        <v>0</v>
      </c>
      <c r="K108">
        <v>0</v>
      </c>
      <c r="L108" s="2">
        <v>215</v>
      </c>
      <c r="M108">
        <v>0</v>
      </c>
      <c r="N108" t="str">
        <f>IF(Table1[[#This Row],[time]]&lt;60, "Critical", IF(Table1[[#This Row],[time]]&lt;120,"Under Obs","Normal"))</f>
        <v>Normal</v>
      </c>
    </row>
    <row r="109" spans="1:14" x14ac:dyDescent="0.3">
      <c r="A109" s="2">
        <v>55</v>
      </c>
      <c r="B109">
        <v>0</v>
      </c>
      <c r="C109" s="2">
        <v>66</v>
      </c>
      <c r="D109">
        <v>0</v>
      </c>
      <c r="E109" s="2">
        <v>40</v>
      </c>
      <c r="F109">
        <v>0</v>
      </c>
      <c r="G109" s="2">
        <v>203000</v>
      </c>
      <c r="H109" s="1">
        <v>1</v>
      </c>
      <c r="I109" s="2">
        <v>138</v>
      </c>
      <c r="J109">
        <v>1</v>
      </c>
      <c r="K109">
        <v>0</v>
      </c>
      <c r="L109" s="2">
        <v>233</v>
      </c>
      <c r="M109">
        <v>0</v>
      </c>
      <c r="N109" t="str">
        <f>IF(Table1[[#This Row],[time]]&lt;60, "Critical", IF(Table1[[#This Row],[time]]&lt;120,"Under Obs","Normal"))</f>
        <v>Normal</v>
      </c>
    </row>
    <row r="110" spans="1:14" x14ac:dyDescent="0.3">
      <c r="A110" s="2">
        <v>55</v>
      </c>
      <c r="B110">
        <v>0</v>
      </c>
      <c r="C110" s="2">
        <v>1199</v>
      </c>
      <c r="D110">
        <v>0</v>
      </c>
      <c r="E110" s="2">
        <v>20</v>
      </c>
      <c r="F110">
        <v>0</v>
      </c>
      <c r="G110" s="2">
        <v>263358.03000000003</v>
      </c>
      <c r="H110" s="1">
        <v>1.83</v>
      </c>
      <c r="I110" s="2">
        <v>134</v>
      </c>
      <c r="J110">
        <v>1</v>
      </c>
      <c r="K110">
        <v>1</v>
      </c>
      <c r="L110" s="2">
        <v>241</v>
      </c>
      <c r="M110">
        <v>1</v>
      </c>
      <c r="N110" t="str">
        <f>IF(Table1[[#This Row],[time]]&lt;60, "Critical", IF(Table1[[#This Row],[time]]&lt;120,"Under Obs","Normal"))</f>
        <v>Normal</v>
      </c>
    </row>
    <row r="111" spans="1:14" x14ac:dyDescent="0.3">
      <c r="A111" s="2">
        <v>55</v>
      </c>
      <c r="B111">
        <v>0</v>
      </c>
      <c r="C111" s="2">
        <v>84</v>
      </c>
      <c r="D111">
        <v>1</v>
      </c>
      <c r="E111" s="2">
        <v>38</v>
      </c>
      <c r="F111">
        <v>0</v>
      </c>
      <c r="G111" s="2">
        <v>451000</v>
      </c>
      <c r="H111" s="1">
        <v>1.3</v>
      </c>
      <c r="I111" s="2">
        <v>136</v>
      </c>
      <c r="J111">
        <v>0</v>
      </c>
      <c r="K111">
        <v>0</v>
      </c>
      <c r="L111" s="2">
        <v>246</v>
      </c>
      <c r="M111">
        <v>0</v>
      </c>
      <c r="N111" t="str">
        <f>IF(Table1[[#This Row],[time]]&lt;60, "Critical", IF(Table1[[#This Row],[time]]&lt;120,"Under Obs","Normal"))</f>
        <v>Normal</v>
      </c>
    </row>
    <row r="112" spans="1:14" x14ac:dyDescent="0.3">
      <c r="A112" s="2">
        <v>55</v>
      </c>
      <c r="B112">
        <v>1</v>
      </c>
      <c r="C112" s="2">
        <v>170</v>
      </c>
      <c r="D112">
        <v>1</v>
      </c>
      <c r="E112" s="2">
        <v>40</v>
      </c>
      <c r="F112">
        <v>0</v>
      </c>
      <c r="G112" s="2">
        <v>336000</v>
      </c>
      <c r="H112" s="1">
        <v>1.2</v>
      </c>
      <c r="I112" s="2">
        <v>135</v>
      </c>
      <c r="J112">
        <v>1</v>
      </c>
      <c r="K112">
        <v>0</v>
      </c>
      <c r="L112" s="2">
        <v>250</v>
      </c>
      <c r="M112">
        <v>0</v>
      </c>
      <c r="N112" t="str">
        <f>IF(Table1[[#This Row],[time]]&lt;60, "Critical", IF(Table1[[#This Row],[time]]&lt;120,"Under Obs","Normal"))</f>
        <v>Normal</v>
      </c>
    </row>
    <row r="113" spans="1:14" x14ac:dyDescent="0.3">
      <c r="A113" s="2">
        <v>55</v>
      </c>
      <c r="B113">
        <v>0</v>
      </c>
      <c r="C113" s="2">
        <v>1820</v>
      </c>
      <c r="D113">
        <v>0</v>
      </c>
      <c r="E113" s="2">
        <v>38</v>
      </c>
      <c r="F113">
        <v>0</v>
      </c>
      <c r="G113" s="2">
        <v>270000</v>
      </c>
      <c r="H113" s="1">
        <v>1.2</v>
      </c>
      <c r="I113" s="2">
        <v>139</v>
      </c>
      <c r="J113">
        <v>0</v>
      </c>
      <c r="K113">
        <v>0</v>
      </c>
      <c r="L113" s="2">
        <v>271</v>
      </c>
      <c r="M113">
        <v>0</v>
      </c>
      <c r="N113" t="str">
        <f>IF(Table1[[#This Row],[time]]&lt;60, "Critical", IF(Table1[[#This Row],[time]]&lt;120,"Under Obs","Normal"))</f>
        <v>Normal</v>
      </c>
    </row>
    <row r="114" spans="1:14" x14ac:dyDescent="0.3">
      <c r="A114" s="2">
        <v>56</v>
      </c>
      <c r="B114">
        <v>1</v>
      </c>
      <c r="C114" s="2">
        <v>135</v>
      </c>
      <c r="D114">
        <v>1</v>
      </c>
      <c r="E114" s="2">
        <v>38</v>
      </c>
      <c r="F114">
        <v>0</v>
      </c>
      <c r="G114" s="2">
        <v>133000</v>
      </c>
      <c r="H114" s="1">
        <v>1.7</v>
      </c>
      <c r="I114" s="2">
        <v>140</v>
      </c>
      <c r="J114">
        <v>1</v>
      </c>
      <c r="K114">
        <v>0</v>
      </c>
      <c r="L114" s="2">
        <v>244</v>
      </c>
      <c r="M114">
        <v>0</v>
      </c>
      <c r="N114" t="str">
        <f>IF(Table1[[#This Row],[time]]&lt;60, "Critical", IF(Table1[[#This Row],[time]]&lt;120,"Under Obs","Normal"))</f>
        <v>Normal</v>
      </c>
    </row>
    <row r="115" spans="1:14" x14ac:dyDescent="0.3">
      <c r="A115" s="2">
        <v>57</v>
      </c>
      <c r="B115">
        <v>1</v>
      </c>
      <c r="C115" s="2">
        <v>129</v>
      </c>
      <c r="D115">
        <v>0</v>
      </c>
      <c r="E115" s="2">
        <v>30</v>
      </c>
      <c r="F115">
        <v>0</v>
      </c>
      <c r="G115" s="2">
        <v>395000</v>
      </c>
      <c r="H115" s="1">
        <v>1</v>
      </c>
      <c r="I115" s="2">
        <v>140</v>
      </c>
      <c r="J115">
        <v>0</v>
      </c>
      <c r="K115">
        <v>0</v>
      </c>
      <c r="L115" s="2">
        <v>42</v>
      </c>
      <c r="M115">
        <v>1</v>
      </c>
      <c r="N115" t="str">
        <f>IF(Table1[[#This Row],[time]]&lt;60, "Critical", IF(Table1[[#This Row],[time]]&lt;120,"Under Obs","Normal"))</f>
        <v>Critical</v>
      </c>
    </row>
    <row r="116" spans="1:14" x14ac:dyDescent="0.3">
      <c r="A116" s="2">
        <v>57</v>
      </c>
      <c r="B116">
        <v>1</v>
      </c>
      <c r="C116" s="2">
        <v>115</v>
      </c>
      <c r="D116">
        <v>0</v>
      </c>
      <c r="E116" s="2">
        <v>25</v>
      </c>
      <c r="F116">
        <v>1</v>
      </c>
      <c r="G116" s="2">
        <v>181000</v>
      </c>
      <c r="H116" s="1">
        <v>1.1000000000000001</v>
      </c>
      <c r="I116" s="2">
        <v>144</v>
      </c>
      <c r="J116">
        <v>1</v>
      </c>
      <c r="K116">
        <v>0</v>
      </c>
      <c r="L116" s="2">
        <v>79</v>
      </c>
      <c r="M116">
        <v>0</v>
      </c>
      <c r="N116" t="str">
        <f>IF(Table1[[#This Row],[time]]&lt;60, "Critical", IF(Table1[[#This Row],[time]]&lt;120,"Under Obs","Normal"))</f>
        <v>Under Obs</v>
      </c>
    </row>
    <row r="117" spans="1:14" x14ac:dyDescent="0.3">
      <c r="A117" s="2">
        <v>58</v>
      </c>
      <c r="B117">
        <v>1</v>
      </c>
      <c r="C117" s="2">
        <v>60</v>
      </c>
      <c r="D117">
        <v>0</v>
      </c>
      <c r="E117" s="2">
        <v>38</v>
      </c>
      <c r="F117">
        <v>0</v>
      </c>
      <c r="G117" s="2">
        <v>153000</v>
      </c>
      <c r="H117" s="1">
        <v>5.8</v>
      </c>
      <c r="I117" s="2">
        <v>134</v>
      </c>
      <c r="J117">
        <v>1</v>
      </c>
      <c r="K117">
        <v>0</v>
      </c>
      <c r="L117" s="2">
        <v>26</v>
      </c>
      <c r="M117">
        <v>1</v>
      </c>
      <c r="N117" t="str">
        <f>IF(Table1[[#This Row],[time]]&lt;60, "Critical", IF(Table1[[#This Row],[time]]&lt;120,"Under Obs","Normal"))</f>
        <v>Critical</v>
      </c>
    </row>
    <row r="118" spans="1:14" x14ac:dyDescent="0.3">
      <c r="A118" s="2">
        <v>58</v>
      </c>
      <c r="B118">
        <v>0</v>
      </c>
      <c r="C118" s="2">
        <v>582</v>
      </c>
      <c r="D118">
        <v>1</v>
      </c>
      <c r="E118" s="2">
        <v>35</v>
      </c>
      <c r="F118">
        <v>0</v>
      </c>
      <c r="G118" s="2">
        <v>122000</v>
      </c>
      <c r="H118" s="1">
        <v>0.9</v>
      </c>
      <c r="I118" s="2">
        <v>139</v>
      </c>
      <c r="J118">
        <v>1</v>
      </c>
      <c r="K118">
        <v>1</v>
      </c>
      <c r="L118" s="2">
        <v>71</v>
      </c>
      <c r="M118">
        <v>0</v>
      </c>
      <c r="N118" t="str">
        <f>IF(Table1[[#This Row],[time]]&lt;60, "Critical", IF(Table1[[#This Row],[time]]&lt;120,"Under Obs","Normal"))</f>
        <v>Under Obs</v>
      </c>
    </row>
    <row r="119" spans="1:14" x14ac:dyDescent="0.3">
      <c r="A119" s="2">
        <v>58</v>
      </c>
      <c r="B119">
        <v>0</v>
      </c>
      <c r="C119" s="2">
        <v>144</v>
      </c>
      <c r="D119">
        <v>1</v>
      </c>
      <c r="E119" s="2">
        <v>38</v>
      </c>
      <c r="F119">
        <v>1</v>
      </c>
      <c r="G119" s="2">
        <v>327000</v>
      </c>
      <c r="H119" s="1">
        <v>0.7</v>
      </c>
      <c r="I119" s="2">
        <v>142</v>
      </c>
      <c r="J119">
        <v>0</v>
      </c>
      <c r="K119">
        <v>0</v>
      </c>
      <c r="L119" s="2">
        <v>83</v>
      </c>
      <c r="M119">
        <v>0</v>
      </c>
      <c r="N119" t="str">
        <f>IF(Table1[[#This Row],[time]]&lt;60, "Critical", IF(Table1[[#This Row],[time]]&lt;120,"Under Obs","Normal"))</f>
        <v>Under Obs</v>
      </c>
    </row>
    <row r="120" spans="1:14" x14ac:dyDescent="0.3">
      <c r="A120" s="2">
        <v>58</v>
      </c>
      <c r="B120">
        <v>1</v>
      </c>
      <c r="C120" s="2">
        <v>133</v>
      </c>
      <c r="D120">
        <v>0</v>
      </c>
      <c r="E120" s="2">
        <v>60</v>
      </c>
      <c r="F120">
        <v>1</v>
      </c>
      <c r="G120" s="2">
        <v>219000</v>
      </c>
      <c r="H120" s="1">
        <v>1</v>
      </c>
      <c r="I120" s="2">
        <v>141</v>
      </c>
      <c r="J120">
        <v>1</v>
      </c>
      <c r="K120">
        <v>0</v>
      </c>
      <c r="L120" s="2">
        <v>83</v>
      </c>
      <c r="M120">
        <v>0</v>
      </c>
      <c r="N120" t="str">
        <f>IF(Table1[[#This Row],[time]]&lt;60, "Critical", IF(Table1[[#This Row],[time]]&lt;120,"Under Obs","Normal"))</f>
        <v>Under Obs</v>
      </c>
    </row>
    <row r="121" spans="1:14" x14ac:dyDescent="0.3">
      <c r="A121" s="2">
        <v>58</v>
      </c>
      <c r="B121">
        <v>1</v>
      </c>
      <c r="C121" s="2">
        <v>400</v>
      </c>
      <c r="D121">
        <v>0</v>
      </c>
      <c r="E121" s="2">
        <v>40</v>
      </c>
      <c r="F121">
        <v>0</v>
      </c>
      <c r="G121" s="2">
        <v>164000</v>
      </c>
      <c r="H121" s="1">
        <v>1</v>
      </c>
      <c r="I121" s="2">
        <v>139</v>
      </c>
      <c r="J121">
        <v>0</v>
      </c>
      <c r="K121">
        <v>0</v>
      </c>
      <c r="L121" s="2">
        <v>91</v>
      </c>
      <c r="M121">
        <v>0</v>
      </c>
      <c r="N121" t="str">
        <f>IF(Table1[[#This Row],[time]]&lt;60, "Critical", IF(Table1[[#This Row],[time]]&lt;120,"Under Obs","Normal"))</f>
        <v>Under Obs</v>
      </c>
    </row>
    <row r="122" spans="1:14" x14ac:dyDescent="0.3">
      <c r="A122" s="2">
        <v>58</v>
      </c>
      <c r="B122">
        <v>1</v>
      </c>
      <c r="C122" s="2">
        <v>200</v>
      </c>
      <c r="D122">
        <v>1</v>
      </c>
      <c r="E122" s="2">
        <v>60</v>
      </c>
      <c r="F122">
        <v>0</v>
      </c>
      <c r="G122" s="2">
        <v>300000</v>
      </c>
      <c r="H122" s="1">
        <v>0.8</v>
      </c>
      <c r="I122" s="2">
        <v>137</v>
      </c>
      <c r="J122">
        <v>0</v>
      </c>
      <c r="K122">
        <v>0</v>
      </c>
      <c r="L122" s="2">
        <v>104</v>
      </c>
      <c r="M122">
        <v>0</v>
      </c>
      <c r="N122" t="str">
        <f>IF(Table1[[#This Row],[time]]&lt;60, "Critical", IF(Table1[[#This Row],[time]]&lt;120,"Under Obs","Normal"))</f>
        <v>Under Obs</v>
      </c>
    </row>
    <row r="123" spans="1:14" x14ac:dyDescent="0.3">
      <c r="A123" s="2">
        <v>58</v>
      </c>
      <c r="B123">
        <v>1</v>
      </c>
      <c r="C123" s="2">
        <v>145</v>
      </c>
      <c r="D123">
        <v>0</v>
      </c>
      <c r="E123" s="2">
        <v>25</v>
      </c>
      <c r="F123">
        <v>0</v>
      </c>
      <c r="G123" s="2">
        <v>219000</v>
      </c>
      <c r="H123" s="1">
        <v>1.2</v>
      </c>
      <c r="I123" s="2">
        <v>137</v>
      </c>
      <c r="J123">
        <v>1</v>
      </c>
      <c r="K123">
        <v>1</v>
      </c>
      <c r="L123" s="2">
        <v>170</v>
      </c>
      <c r="M123">
        <v>1</v>
      </c>
      <c r="N123" t="str">
        <f>IF(Table1[[#This Row],[time]]&lt;60, "Critical", IF(Table1[[#This Row],[time]]&lt;120,"Under Obs","Normal"))</f>
        <v>Normal</v>
      </c>
    </row>
    <row r="124" spans="1:14" x14ac:dyDescent="0.3">
      <c r="A124" s="2">
        <v>58</v>
      </c>
      <c r="B124">
        <v>0</v>
      </c>
      <c r="C124" s="2">
        <v>582</v>
      </c>
      <c r="D124">
        <v>1</v>
      </c>
      <c r="E124" s="2">
        <v>25</v>
      </c>
      <c r="F124">
        <v>0</v>
      </c>
      <c r="G124" s="2">
        <v>504000</v>
      </c>
      <c r="H124" s="1">
        <v>1</v>
      </c>
      <c r="I124" s="2">
        <v>138</v>
      </c>
      <c r="J124">
        <v>1</v>
      </c>
      <c r="K124">
        <v>0</v>
      </c>
      <c r="L124" s="2">
        <v>205</v>
      </c>
      <c r="M124">
        <v>0</v>
      </c>
      <c r="N124" t="str">
        <f>IF(Table1[[#This Row],[time]]&lt;60, "Critical", IF(Table1[[#This Row],[time]]&lt;120,"Under Obs","Normal"))</f>
        <v>Normal</v>
      </c>
    </row>
    <row r="125" spans="1:14" x14ac:dyDescent="0.3">
      <c r="A125" s="2">
        <v>58</v>
      </c>
      <c r="B125">
        <v>1</v>
      </c>
      <c r="C125" s="2">
        <v>57</v>
      </c>
      <c r="D125">
        <v>0</v>
      </c>
      <c r="E125" s="2">
        <v>25</v>
      </c>
      <c r="F125">
        <v>0</v>
      </c>
      <c r="G125" s="2">
        <v>189000</v>
      </c>
      <c r="H125" s="1">
        <v>1.3</v>
      </c>
      <c r="I125" s="2">
        <v>132</v>
      </c>
      <c r="J125">
        <v>1</v>
      </c>
      <c r="K125">
        <v>1</v>
      </c>
      <c r="L125" s="2">
        <v>205</v>
      </c>
      <c r="M125">
        <v>0</v>
      </c>
      <c r="N125" t="str">
        <f>IF(Table1[[#This Row],[time]]&lt;60, "Critical", IF(Table1[[#This Row],[time]]&lt;120,"Under Obs","Normal"))</f>
        <v>Normal</v>
      </c>
    </row>
    <row r="126" spans="1:14" x14ac:dyDescent="0.3">
      <c r="A126" s="2">
        <v>58</v>
      </c>
      <c r="B126">
        <v>0</v>
      </c>
      <c r="C126" s="2">
        <v>132</v>
      </c>
      <c r="D126">
        <v>1</v>
      </c>
      <c r="E126" s="2">
        <v>38</v>
      </c>
      <c r="F126">
        <v>1</v>
      </c>
      <c r="G126" s="2">
        <v>253000</v>
      </c>
      <c r="H126" s="1">
        <v>1</v>
      </c>
      <c r="I126" s="2">
        <v>139</v>
      </c>
      <c r="J126">
        <v>1</v>
      </c>
      <c r="K126">
        <v>0</v>
      </c>
      <c r="L126" s="2">
        <v>230</v>
      </c>
      <c r="M126">
        <v>0</v>
      </c>
      <c r="N126" t="str">
        <f>IF(Table1[[#This Row],[time]]&lt;60, "Critical", IF(Table1[[#This Row],[time]]&lt;120,"Under Obs","Normal"))</f>
        <v>Normal</v>
      </c>
    </row>
    <row r="127" spans="1:14" x14ac:dyDescent="0.3">
      <c r="A127" s="2">
        <v>59</v>
      </c>
      <c r="B127">
        <v>1</v>
      </c>
      <c r="C127" s="2">
        <v>280</v>
      </c>
      <c r="D127">
        <v>1</v>
      </c>
      <c r="E127" s="2">
        <v>25</v>
      </c>
      <c r="F127">
        <v>1</v>
      </c>
      <c r="G127" s="2">
        <v>302000</v>
      </c>
      <c r="H127" s="1">
        <v>1</v>
      </c>
      <c r="I127" s="2">
        <v>141</v>
      </c>
      <c r="J127">
        <v>0</v>
      </c>
      <c r="K127">
        <v>0</v>
      </c>
      <c r="L127" s="2">
        <v>78</v>
      </c>
      <c r="M127">
        <v>1</v>
      </c>
      <c r="N127" t="str">
        <f>IF(Table1[[#This Row],[time]]&lt;60, "Critical", IF(Table1[[#This Row],[time]]&lt;120,"Under Obs","Normal"))</f>
        <v>Under Obs</v>
      </c>
    </row>
    <row r="128" spans="1:14" x14ac:dyDescent="0.3">
      <c r="A128" s="2">
        <v>59</v>
      </c>
      <c r="B128">
        <v>1</v>
      </c>
      <c r="C128" s="2">
        <v>129</v>
      </c>
      <c r="D128">
        <v>0</v>
      </c>
      <c r="E128" s="2">
        <v>45</v>
      </c>
      <c r="F128">
        <v>1</v>
      </c>
      <c r="G128" s="2">
        <v>362000</v>
      </c>
      <c r="H128" s="1">
        <v>1.1000000000000001</v>
      </c>
      <c r="I128" s="2">
        <v>139</v>
      </c>
      <c r="J128">
        <v>1</v>
      </c>
      <c r="K128">
        <v>1</v>
      </c>
      <c r="L128" s="2">
        <v>121</v>
      </c>
      <c r="M128">
        <v>0</v>
      </c>
      <c r="N128" t="str">
        <f>IF(Table1[[#This Row],[time]]&lt;60, "Critical", IF(Table1[[#This Row],[time]]&lt;120,"Under Obs","Normal"))</f>
        <v>Normal</v>
      </c>
    </row>
    <row r="129" spans="1:14" x14ac:dyDescent="0.3">
      <c r="A129" s="2">
        <v>59</v>
      </c>
      <c r="B129">
        <v>0</v>
      </c>
      <c r="C129" s="2">
        <v>66</v>
      </c>
      <c r="D129">
        <v>1</v>
      </c>
      <c r="E129" s="2">
        <v>20</v>
      </c>
      <c r="F129">
        <v>0</v>
      </c>
      <c r="G129" s="2">
        <v>70000</v>
      </c>
      <c r="H129" s="1">
        <v>2.4</v>
      </c>
      <c r="I129" s="2">
        <v>134</v>
      </c>
      <c r="J129">
        <v>1</v>
      </c>
      <c r="K129">
        <v>0</v>
      </c>
      <c r="L129" s="2">
        <v>135</v>
      </c>
      <c r="M129">
        <v>1</v>
      </c>
      <c r="N129" t="str">
        <f>IF(Table1[[#This Row],[time]]&lt;60, "Critical", IF(Table1[[#This Row],[time]]&lt;120,"Under Obs","Normal"))</f>
        <v>Normal</v>
      </c>
    </row>
    <row r="130" spans="1:14" x14ac:dyDescent="0.3">
      <c r="A130" s="2">
        <v>59</v>
      </c>
      <c r="B130">
        <v>1</v>
      </c>
      <c r="C130" s="2">
        <v>176</v>
      </c>
      <c r="D130">
        <v>1</v>
      </c>
      <c r="E130" s="2">
        <v>25</v>
      </c>
      <c r="F130">
        <v>0</v>
      </c>
      <c r="G130" s="2">
        <v>221000</v>
      </c>
      <c r="H130" s="1">
        <v>1</v>
      </c>
      <c r="I130" s="2">
        <v>136</v>
      </c>
      <c r="J130">
        <v>1</v>
      </c>
      <c r="K130">
        <v>1</v>
      </c>
      <c r="L130" s="2">
        <v>150</v>
      </c>
      <c r="M130">
        <v>1</v>
      </c>
      <c r="N130" t="str">
        <f>IF(Table1[[#This Row],[time]]&lt;60, "Critical", IF(Table1[[#This Row],[time]]&lt;120,"Under Obs","Normal"))</f>
        <v>Normal</v>
      </c>
    </row>
    <row r="131" spans="1:14" x14ac:dyDescent="0.3">
      <c r="A131" s="2">
        <v>60</v>
      </c>
      <c r="B131">
        <v>1</v>
      </c>
      <c r="C131" s="2">
        <v>315</v>
      </c>
      <c r="D131">
        <v>1</v>
      </c>
      <c r="E131" s="2">
        <v>60</v>
      </c>
      <c r="F131">
        <v>0</v>
      </c>
      <c r="G131" s="2">
        <v>454000</v>
      </c>
      <c r="H131" s="1">
        <v>1.1000000000000001</v>
      </c>
      <c r="I131" s="2">
        <v>131</v>
      </c>
      <c r="J131">
        <v>1</v>
      </c>
      <c r="K131">
        <v>1</v>
      </c>
      <c r="L131" s="2">
        <v>10</v>
      </c>
      <c r="M131">
        <v>1</v>
      </c>
      <c r="N131" t="str">
        <f>IF(Table1[[#This Row],[time]]&lt;60, "Critical", IF(Table1[[#This Row],[time]]&lt;120,"Under Obs","Normal"))</f>
        <v>Critical</v>
      </c>
    </row>
    <row r="132" spans="1:14" x14ac:dyDescent="0.3">
      <c r="A132" s="2">
        <v>60</v>
      </c>
      <c r="B132">
        <v>0</v>
      </c>
      <c r="C132" s="2">
        <v>2656</v>
      </c>
      <c r="D132">
        <v>1</v>
      </c>
      <c r="E132" s="2">
        <v>30</v>
      </c>
      <c r="F132">
        <v>0</v>
      </c>
      <c r="G132" s="2">
        <v>305000</v>
      </c>
      <c r="H132" s="1">
        <v>2.2999999999999998</v>
      </c>
      <c r="I132" s="2">
        <v>137</v>
      </c>
      <c r="J132">
        <v>1</v>
      </c>
      <c r="K132">
        <v>0</v>
      </c>
      <c r="L132" s="2">
        <v>30</v>
      </c>
      <c r="M132">
        <v>0</v>
      </c>
      <c r="N132" t="str">
        <f>IF(Table1[[#This Row],[time]]&lt;60, "Critical", IF(Table1[[#This Row],[time]]&lt;120,"Under Obs","Normal"))</f>
        <v>Critical</v>
      </c>
    </row>
    <row r="133" spans="1:14" x14ac:dyDescent="0.3">
      <c r="A133" s="2">
        <v>60</v>
      </c>
      <c r="B133">
        <v>0</v>
      </c>
      <c r="C133" s="2">
        <v>235</v>
      </c>
      <c r="D133">
        <v>1</v>
      </c>
      <c r="E133" s="2">
        <v>38</v>
      </c>
      <c r="F133">
        <v>0</v>
      </c>
      <c r="G133" s="2">
        <v>329000</v>
      </c>
      <c r="H133" s="1">
        <v>3</v>
      </c>
      <c r="I133" s="2">
        <v>142</v>
      </c>
      <c r="J133">
        <v>0</v>
      </c>
      <c r="K133">
        <v>0</v>
      </c>
      <c r="L133" s="2">
        <v>30</v>
      </c>
      <c r="M133">
        <v>1</v>
      </c>
      <c r="N133" t="str">
        <f>IF(Table1[[#This Row],[time]]&lt;60, "Critical", IF(Table1[[#This Row],[time]]&lt;120,"Under Obs","Normal"))</f>
        <v>Critical</v>
      </c>
    </row>
    <row r="134" spans="1:14" x14ac:dyDescent="0.3">
      <c r="A134" s="2">
        <v>60</v>
      </c>
      <c r="B134">
        <v>1</v>
      </c>
      <c r="C134" s="2">
        <v>588</v>
      </c>
      <c r="D134">
        <v>1</v>
      </c>
      <c r="E134" s="2">
        <v>60</v>
      </c>
      <c r="F134">
        <v>0</v>
      </c>
      <c r="G134" s="2">
        <v>194000</v>
      </c>
      <c r="H134" s="1">
        <v>1.1000000000000001</v>
      </c>
      <c r="I134" s="2">
        <v>142</v>
      </c>
      <c r="J134">
        <v>0</v>
      </c>
      <c r="K134">
        <v>0</v>
      </c>
      <c r="L134" s="2">
        <v>33</v>
      </c>
      <c r="M134">
        <v>1</v>
      </c>
      <c r="N134" t="str">
        <f>IF(Table1[[#This Row],[time]]&lt;60, "Critical", IF(Table1[[#This Row],[time]]&lt;120,"Under Obs","Normal"))</f>
        <v>Critical</v>
      </c>
    </row>
    <row r="135" spans="1:14" x14ac:dyDescent="0.3">
      <c r="A135" s="2">
        <v>60</v>
      </c>
      <c r="B135">
        <v>0</v>
      </c>
      <c r="C135" s="2">
        <v>582</v>
      </c>
      <c r="D135">
        <v>1</v>
      </c>
      <c r="E135" s="2">
        <v>38</v>
      </c>
      <c r="F135">
        <v>1</v>
      </c>
      <c r="G135" s="2">
        <v>451000</v>
      </c>
      <c r="H135" s="1">
        <v>0.6</v>
      </c>
      <c r="I135" s="2">
        <v>138</v>
      </c>
      <c r="J135">
        <v>1</v>
      </c>
      <c r="K135">
        <v>1</v>
      </c>
      <c r="L135" s="2">
        <v>40</v>
      </c>
      <c r="M135">
        <v>1</v>
      </c>
      <c r="N135" t="str">
        <f>IF(Table1[[#This Row],[time]]&lt;60, "Critical", IF(Table1[[#This Row],[time]]&lt;120,"Under Obs","Normal"))</f>
        <v>Critical</v>
      </c>
    </row>
    <row r="136" spans="1:14" x14ac:dyDescent="0.3">
      <c r="A136" s="2">
        <v>60</v>
      </c>
      <c r="B136">
        <v>0</v>
      </c>
      <c r="C136" s="2">
        <v>3964</v>
      </c>
      <c r="D136">
        <v>1</v>
      </c>
      <c r="E136" s="2">
        <v>62</v>
      </c>
      <c r="F136">
        <v>0</v>
      </c>
      <c r="G136" s="2">
        <v>263358.03000000003</v>
      </c>
      <c r="H136" s="1">
        <v>6.8</v>
      </c>
      <c r="I136" s="2">
        <v>146</v>
      </c>
      <c r="J136">
        <v>0</v>
      </c>
      <c r="K136">
        <v>0</v>
      </c>
      <c r="L136" s="2">
        <v>43</v>
      </c>
      <c r="M136">
        <v>1</v>
      </c>
      <c r="N136" t="str">
        <f>IF(Table1[[#This Row],[time]]&lt;60, "Critical", IF(Table1[[#This Row],[time]]&lt;120,"Under Obs","Normal"))</f>
        <v>Critical</v>
      </c>
    </row>
    <row r="137" spans="1:14" x14ac:dyDescent="0.3">
      <c r="A137" s="2">
        <v>60</v>
      </c>
      <c r="B137">
        <v>1</v>
      </c>
      <c r="C137" s="2">
        <v>260</v>
      </c>
      <c r="D137">
        <v>1</v>
      </c>
      <c r="E137" s="2">
        <v>38</v>
      </c>
      <c r="F137">
        <v>0</v>
      </c>
      <c r="G137" s="2">
        <v>255000</v>
      </c>
      <c r="H137" s="1">
        <v>2.2000000000000002</v>
      </c>
      <c r="I137" s="2">
        <v>132</v>
      </c>
      <c r="J137">
        <v>0</v>
      </c>
      <c r="K137">
        <v>1</v>
      </c>
      <c r="L137" s="2">
        <v>45</v>
      </c>
      <c r="M137">
        <v>1</v>
      </c>
      <c r="N137" t="str">
        <f>IF(Table1[[#This Row],[time]]&lt;60, "Critical", IF(Table1[[#This Row],[time]]&lt;120,"Under Obs","Normal"))</f>
        <v>Critical</v>
      </c>
    </row>
    <row r="138" spans="1:14" x14ac:dyDescent="0.3">
      <c r="A138" s="2">
        <v>60</v>
      </c>
      <c r="B138">
        <v>1</v>
      </c>
      <c r="C138" s="2">
        <v>607</v>
      </c>
      <c r="D138">
        <v>0</v>
      </c>
      <c r="E138" s="2">
        <v>40</v>
      </c>
      <c r="F138">
        <v>0</v>
      </c>
      <c r="G138" s="2">
        <v>216000</v>
      </c>
      <c r="H138" s="1">
        <v>0.6</v>
      </c>
      <c r="I138" s="2">
        <v>138</v>
      </c>
      <c r="J138">
        <v>1</v>
      </c>
      <c r="K138">
        <v>1</v>
      </c>
      <c r="L138" s="2">
        <v>54</v>
      </c>
      <c r="M138">
        <v>0</v>
      </c>
      <c r="N138" t="str">
        <f>IF(Table1[[#This Row],[time]]&lt;60, "Critical", IF(Table1[[#This Row],[time]]&lt;120,"Under Obs","Normal"))</f>
        <v>Critical</v>
      </c>
    </row>
    <row r="139" spans="1:14" x14ac:dyDescent="0.3">
      <c r="A139" s="2">
        <v>60</v>
      </c>
      <c r="B139">
        <v>0</v>
      </c>
      <c r="C139" s="2">
        <v>68</v>
      </c>
      <c r="D139">
        <v>0</v>
      </c>
      <c r="E139" s="2">
        <v>20</v>
      </c>
      <c r="F139">
        <v>0</v>
      </c>
      <c r="G139" s="2">
        <v>119000</v>
      </c>
      <c r="H139" s="1">
        <v>2.9</v>
      </c>
      <c r="I139" s="2">
        <v>127</v>
      </c>
      <c r="J139">
        <v>1</v>
      </c>
      <c r="K139">
        <v>1</v>
      </c>
      <c r="L139" s="2">
        <v>64</v>
      </c>
      <c r="M139">
        <v>1</v>
      </c>
      <c r="N139" t="str">
        <f>IF(Table1[[#This Row],[time]]&lt;60, "Critical", IF(Table1[[#This Row],[time]]&lt;120,"Under Obs","Normal"))</f>
        <v>Under Obs</v>
      </c>
    </row>
    <row r="140" spans="1:14" x14ac:dyDescent="0.3">
      <c r="A140" s="2">
        <v>60</v>
      </c>
      <c r="B140">
        <v>1</v>
      </c>
      <c r="C140" s="2">
        <v>47</v>
      </c>
      <c r="D140">
        <v>0</v>
      </c>
      <c r="E140" s="2">
        <v>20</v>
      </c>
      <c r="F140">
        <v>0</v>
      </c>
      <c r="G140" s="2">
        <v>204000</v>
      </c>
      <c r="H140" s="1">
        <v>0.7</v>
      </c>
      <c r="I140" s="2">
        <v>139</v>
      </c>
      <c r="J140">
        <v>1</v>
      </c>
      <c r="K140">
        <v>1</v>
      </c>
      <c r="L140" s="2">
        <v>73</v>
      </c>
      <c r="M140">
        <v>1</v>
      </c>
      <c r="N140" t="str">
        <f>IF(Table1[[#This Row],[time]]&lt;60, "Critical", IF(Table1[[#This Row],[time]]&lt;120,"Under Obs","Normal"))</f>
        <v>Under Obs</v>
      </c>
    </row>
    <row r="141" spans="1:14" x14ac:dyDescent="0.3">
      <c r="A141" s="2">
        <v>60</v>
      </c>
      <c r="B141">
        <v>1</v>
      </c>
      <c r="C141" s="2">
        <v>76</v>
      </c>
      <c r="D141">
        <v>1</v>
      </c>
      <c r="E141" s="2">
        <v>25</v>
      </c>
      <c r="F141">
        <v>0</v>
      </c>
      <c r="G141" s="2">
        <v>196000</v>
      </c>
      <c r="H141" s="1">
        <v>2.5</v>
      </c>
      <c r="I141" s="2">
        <v>132</v>
      </c>
      <c r="J141">
        <v>0</v>
      </c>
      <c r="K141">
        <v>0</v>
      </c>
      <c r="L141" s="2">
        <v>77</v>
      </c>
      <c r="M141">
        <v>1</v>
      </c>
      <c r="N141" t="str">
        <f>IF(Table1[[#This Row],[time]]&lt;60, "Critical", IF(Table1[[#This Row],[time]]&lt;120,"Under Obs","Normal"))</f>
        <v>Under Obs</v>
      </c>
    </row>
    <row r="142" spans="1:14" x14ac:dyDescent="0.3">
      <c r="A142" s="2">
        <v>60</v>
      </c>
      <c r="B142">
        <v>0</v>
      </c>
      <c r="C142" s="2">
        <v>897</v>
      </c>
      <c r="D142">
        <v>1</v>
      </c>
      <c r="E142" s="2">
        <v>45</v>
      </c>
      <c r="F142">
        <v>0</v>
      </c>
      <c r="G142" s="2">
        <v>297000</v>
      </c>
      <c r="H142" s="1">
        <v>1</v>
      </c>
      <c r="I142" s="2">
        <v>133</v>
      </c>
      <c r="J142">
        <v>1</v>
      </c>
      <c r="K142">
        <v>0</v>
      </c>
      <c r="L142" s="2">
        <v>80</v>
      </c>
      <c r="M142">
        <v>0</v>
      </c>
      <c r="N142" t="str">
        <f>IF(Table1[[#This Row],[time]]&lt;60, "Critical", IF(Table1[[#This Row],[time]]&lt;120,"Under Obs","Normal"))</f>
        <v>Under Obs</v>
      </c>
    </row>
    <row r="143" spans="1:14" x14ac:dyDescent="0.3">
      <c r="A143" s="2">
        <v>60</v>
      </c>
      <c r="B143">
        <v>1</v>
      </c>
      <c r="C143" s="2">
        <v>154</v>
      </c>
      <c r="D143">
        <v>0</v>
      </c>
      <c r="E143" s="2">
        <v>25</v>
      </c>
      <c r="F143">
        <v>0</v>
      </c>
      <c r="G143" s="2">
        <v>210000</v>
      </c>
      <c r="H143" s="1">
        <v>1.7</v>
      </c>
      <c r="I143" s="2">
        <v>135</v>
      </c>
      <c r="J143">
        <v>1</v>
      </c>
      <c r="K143">
        <v>0</v>
      </c>
      <c r="L143" s="2">
        <v>82</v>
      </c>
      <c r="M143">
        <v>1</v>
      </c>
      <c r="N143" t="str">
        <f>IF(Table1[[#This Row],[time]]&lt;60, "Critical", IF(Table1[[#This Row],[time]]&lt;120,"Under Obs","Normal"))</f>
        <v>Under Obs</v>
      </c>
    </row>
    <row r="144" spans="1:14" x14ac:dyDescent="0.3">
      <c r="A144" s="2">
        <v>60</v>
      </c>
      <c r="B144">
        <v>1</v>
      </c>
      <c r="C144" s="2">
        <v>156</v>
      </c>
      <c r="D144">
        <v>1</v>
      </c>
      <c r="E144" s="2">
        <v>25</v>
      </c>
      <c r="F144">
        <v>1</v>
      </c>
      <c r="G144" s="2">
        <v>318000</v>
      </c>
      <c r="H144" s="1">
        <v>1.2</v>
      </c>
      <c r="I144" s="2">
        <v>137</v>
      </c>
      <c r="J144">
        <v>0</v>
      </c>
      <c r="K144">
        <v>0</v>
      </c>
      <c r="L144" s="2">
        <v>85</v>
      </c>
      <c r="M144">
        <v>0</v>
      </c>
      <c r="N144" t="str">
        <f>IF(Table1[[#This Row],[time]]&lt;60, "Critical", IF(Table1[[#This Row],[time]]&lt;120,"Under Obs","Normal"))</f>
        <v>Under Obs</v>
      </c>
    </row>
    <row r="145" spans="1:14" x14ac:dyDescent="0.3">
      <c r="A145" s="2">
        <v>60</v>
      </c>
      <c r="B145">
        <v>0</v>
      </c>
      <c r="C145" s="2">
        <v>53</v>
      </c>
      <c r="D145">
        <v>0</v>
      </c>
      <c r="E145" s="2">
        <v>50</v>
      </c>
      <c r="F145">
        <v>1</v>
      </c>
      <c r="G145" s="2">
        <v>286000</v>
      </c>
      <c r="H145" s="1">
        <v>2.2999999999999998</v>
      </c>
      <c r="I145" s="2">
        <v>143</v>
      </c>
      <c r="J145">
        <v>0</v>
      </c>
      <c r="K145">
        <v>0</v>
      </c>
      <c r="L145" s="2">
        <v>87</v>
      </c>
      <c r="M145">
        <v>0</v>
      </c>
      <c r="N145" t="str">
        <f>IF(Table1[[#This Row],[time]]&lt;60, "Critical", IF(Table1[[#This Row],[time]]&lt;120,"Under Obs","Normal"))</f>
        <v>Under Obs</v>
      </c>
    </row>
    <row r="146" spans="1:14" x14ac:dyDescent="0.3">
      <c r="A146" s="2">
        <v>60</v>
      </c>
      <c r="B146">
        <v>1</v>
      </c>
      <c r="C146" s="2">
        <v>754</v>
      </c>
      <c r="D146">
        <v>1</v>
      </c>
      <c r="E146" s="2">
        <v>40</v>
      </c>
      <c r="F146">
        <v>1</v>
      </c>
      <c r="G146" s="2">
        <v>328000</v>
      </c>
      <c r="H146" s="1">
        <v>1.2</v>
      </c>
      <c r="I146" s="2">
        <v>126</v>
      </c>
      <c r="J146">
        <v>1</v>
      </c>
      <c r="K146">
        <v>0</v>
      </c>
      <c r="L146" s="2">
        <v>91</v>
      </c>
      <c r="M146">
        <v>0</v>
      </c>
      <c r="N146" t="str">
        <f>IF(Table1[[#This Row],[time]]&lt;60, "Critical", IF(Table1[[#This Row],[time]]&lt;120,"Under Obs","Normal"))</f>
        <v>Under Obs</v>
      </c>
    </row>
    <row r="147" spans="1:14" x14ac:dyDescent="0.3">
      <c r="A147" s="2">
        <v>60</v>
      </c>
      <c r="B147">
        <v>1</v>
      </c>
      <c r="C147" s="2">
        <v>96</v>
      </c>
      <c r="D147">
        <v>1</v>
      </c>
      <c r="E147" s="2">
        <v>60</v>
      </c>
      <c r="F147">
        <v>1</v>
      </c>
      <c r="G147" s="2">
        <v>271000</v>
      </c>
      <c r="H147" s="1">
        <v>0.7</v>
      </c>
      <c r="I147" s="2">
        <v>136</v>
      </c>
      <c r="J147">
        <v>0</v>
      </c>
      <c r="K147">
        <v>0</v>
      </c>
      <c r="L147" s="2">
        <v>94</v>
      </c>
      <c r="M147">
        <v>0</v>
      </c>
      <c r="N147" t="str">
        <f>IF(Table1[[#This Row],[time]]&lt;60, "Critical", IF(Table1[[#This Row],[time]]&lt;120,"Under Obs","Normal"))</f>
        <v>Under Obs</v>
      </c>
    </row>
    <row r="148" spans="1:14" x14ac:dyDescent="0.3">
      <c r="A148" s="2">
        <v>60</v>
      </c>
      <c r="B148">
        <v>1</v>
      </c>
      <c r="C148" s="2">
        <v>737</v>
      </c>
      <c r="D148">
        <v>0</v>
      </c>
      <c r="E148" s="2">
        <v>60</v>
      </c>
      <c r="F148">
        <v>1</v>
      </c>
      <c r="G148" s="2">
        <v>210000</v>
      </c>
      <c r="H148" s="1">
        <v>1.5</v>
      </c>
      <c r="I148" s="2">
        <v>135</v>
      </c>
      <c r="J148">
        <v>1</v>
      </c>
      <c r="K148">
        <v>1</v>
      </c>
      <c r="L148" s="2">
        <v>95</v>
      </c>
      <c r="M148">
        <v>0</v>
      </c>
      <c r="N148" t="str">
        <f>IF(Table1[[#This Row],[time]]&lt;60, "Critical", IF(Table1[[#This Row],[time]]&lt;120,"Under Obs","Normal"))</f>
        <v>Under Obs</v>
      </c>
    </row>
    <row r="149" spans="1:14" x14ac:dyDescent="0.3">
      <c r="A149" s="2">
        <v>60</v>
      </c>
      <c r="B149">
        <v>0</v>
      </c>
      <c r="C149" s="2">
        <v>96</v>
      </c>
      <c r="D149">
        <v>1</v>
      </c>
      <c r="E149" s="2">
        <v>38</v>
      </c>
      <c r="F149">
        <v>0</v>
      </c>
      <c r="G149" s="2">
        <v>228000</v>
      </c>
      <c r="H149" s="1">
        <v>0.75</v>
      </c>
      <c r="I149" s="2">
        <v>140</v>
      </c>
      <c r="J149">
        <v>0</v>
      </c>
      <c r="K149">
        <v>0</v>
      </c>
      <c r="L149" s="2">
        <v>95</v>
      </c>
      <c r="M149">
        <v>0</v>
      </c>
      <c r="N149" t="str">
        <f>IF(Table1[[#This Row],[time]]&lt;60, "Critical", IF(Table1[[#This Row],[time]]&lt;120,"Under Obs","Normal"))</f>
        <v>Under Obs</v>
      </c>
    </row>
    <row r="150" spans="1:14" x14ac:dyDescent="0.3">
      <c r="A150" s="2">
        <v>60</v>
      </c>
      <c r="B150">
        <v>1</v>
      </c>
      <c r="C150" s="2">
        <v>582</v>
      </c>
      <c r="D150">
        <v>0</v>
      </c>
      <c r="E150" s="2">
        <v>30</v>
      </c>
      <c r="F150">
        <v>1</v>
      </c>
      <c r="G150" s="2">
        <v>127000</v>
      </c>
      <c r="H150" s="1">
        <v>0.9</v>
      </c>
      <c r="I150" s="2">
        <v>145</v>
      </c>
      <c r="J150">
        <v>0</v>
      </c>
      <c r="K150">
        <v>0</v>
      </c>
      <c r="L150" s="2">
        <v>95</v>
      </c>
      <c r="M150">
        <v>0</v>
      </c>
      <c r="N150" t="str">
        <f>IF(Table1[[#This Row],[time]]&lt;60, "Critical", IF(Table1[[#This Row],[time]]&lt;120,"Under Obs","Normal"))</f>
        <v>Under Obs</v>
      </c>
    </row>
    <row r="151" spans="1:14" x14ac:dyDescent="0.3">
      <c r="A151" s="2">
        <v>60</v>
      </c>
      <c r="B151">
        <v>0</v>
      </c>
      <c r="C151" s="2">
        <v>582</v>
      </c>
      <c r="D151">
        <v>0</v>
      </c>
      <c r="E151" s="2">
        <v>40</v>
      </c>
      <c r="F151">
        <v>0</v>
      </c>
      <c r="G151" s="2">
        <v>217000</v>
      </c>
      <c r="H151" s="1">
        <v>3.7</v>
      </c>
      <c r="I151" s="2">
        <v>134</v>
      </c>
      <c r="J151">
        <v>1</v>
      </c>
      <c r="K151">
        <v>0</v>
      </c>
      <c r="L151" s="2">
        <v>96</v>
      </c>
      <c r="M151">
        <v>1</v>
      </c>
      <c r="N151" t="str">
        <f>IF(Table1[[#This Row],[time]]&lt;60, "Critical", IF(Table1[[#This Row],[time]]&lt;120,"Under Obs","Normal"))</f>
        <v>Under Obs</v>
      </c>
    </row>
    <row r="152" spans="1:14" x14ac:dyDescent="0.3">
      <c r="A152" s="2">
        <v>60</v>
      </c>
      <c r="B152">
        <v>1</v>
      </c>
      <c r="C152" s="2">
        <v>1082</v>
      </c>
      <c r="D152">
        <v>1</v>
      </c>
      <c r="E152" s="2">
        <v>45</v>
      </c>
      <c r="F152">
        <v>0</v>
      </c>
      <c r="G152" s="2">
        <v>250000</v>
      </c>
      <c r="H152" s="1">
        <v>6.1</v>
      </c>
      <c r="I152" s="2">
        <v>131</v>
      </c>
      <c r="J152">
        <v>1</v>
      </c>
      <c r="K152">
        <v>0</v>
      </c>
      <c r="L152" s="2">
        <v>107</v>
      </c>
      <c r="M152">
        <v>0</v>
      </c>
      <c r="N152" t="str">
        <f>IF(Table1[[#This Row],[time]]&lt;60, "Critical", IF(Table1[[#This Row],[time]]&lt;120,"Under Obs","Normal"))</f>
        <v>Under Obs</v>
      </c>
    </row>
    <row r="153" spans="1:14" x14ac:dyDescent="0.3">
      <c r="A153" s="2">
        <v>60</v>
      </c>
      <c r="B153">
        <v>0</v>
      </c>
      <c r="C153" s="2">
        <v>2261</v>
      </c>
      <c r="D153">
        <v>0</v>
      </c>
      <c r="E153" s="2">
        <v>35</v>
      </c>
      <c r="F153">
        <v>1</v>
      </c>
      <c r="G153" s="2">
        <v>228000</v>
      </c>
      <c r="H153" s="1">
        <v>0.9</v>
      </c>
      <c r="I153" s="2">
        <v>136</v>
      </c>
      <c r="J153">
        <v>1</v>
      </c>
      <c r="K153">
        <v>0</v>
      </c>
      <c r="L153" s="2">
        <v>115</v>
      </c>
      <c r="M153">
        <v>0</v>
      </c>
      <c r="N153" t="str">
        <f>IF(Table1[[#This Row],[time]]&lt;60, "Critical", IF(Table1[[#This Row],[time]]&lt;120,"Under Obs","Normal"))</f>
        <v>Under Obs</v>
      </c>
    </row>
    <row r="154" spans="1:14" x14ac:dyDescent="0.3">
      <c r="A154" s="2">
        <v>60</v>
      </c>
      <c r="B154">
        <v>1</v>
      </c>
      <c r="C154" s="2">
        <v>231</v>
      </c>
      <c r="D154">
        <v>1</v>
      </c>
      <c r="E154" s="2">
        <v>25</v>
      </c>
      <c r="F154">
        <v>0</v>
      </c>
      <c r="G154" s="2">
        <v>194000</v>
      </c>
      <c r="H154" s="1">
        <v>1.7</v>
      </c>
      <c r="I154" s="2">
        <v>140</v>
      </c>
      <c r="J154">
        <v>1</v>
      </c>
      <c r="K154">
        <v>0</v>
      </c>
      <c r="L154" s="2">
        <v>120</v>
      </c>
      <c r="M154">
        <v>0</v>
      </c>
      <c r="N154" t="str">
        <f>IF(Table1[[#This Row],[time]]&lt;60, "Critical", IF(Table1[[#This Row],[time]]&lt;120,"Under Obs","Normal"))</f>
        <v>Normal</v>
      </c>
    </row>
    <row r="155" spans="1:14" x14ac:dyDescent="0.3">
      <c r="A155" s="2">
        <v>60</v>
      </c>
      <c r="B155">
        <v>1</v>
      </c>
      <c r="C155" s="2">
        <v>95</v>
      </c>
      <c r="D155">
        <v>0</v>
      </c>
      <c r="E155" s="2">
        <v>60</v>
      </c>
      <c r="F155">
        <v>0</v>
      </c>
      <c r="G155" s="2">
        <v>337000</v>
      </c>
      <c r="H155" s="1">
        <v>1</v>
      </c>
      <c r="I155" s="2">
        <v>138</v>
      </c>
      <c r="J155">
        <v>1</v>
      </c>
      <c r="K155">
        <v>1</v>
      </c>
      <c r="L155" s="2">
        <v>146</v>
      </c>
      <c r="M155">
        <v>0</v>
      </c>
      <c r="N155" t="str">
        <f>IF(Table1[[#This Row],[time]]&lt;60, "Critical", IF(Table1[[#This Row],[time]]&lt;120,"Under Obs","Normal"))</f>
        <v>Normal</v>
      </c>
    </row>
    <row r="156" spans="1:14" x14ac:dyDescent="0.3">
      <c r="A156" s="2">
        <v>60</v>
      </c>
      <c r="B156">
        <v>0</v>
      </c>
      <c r="C156" s="2">
        <v>1896</v>
      </c>
      <c r="D156">
        <v>1</v>
      </c>
      <c r="E156" s="2">
        <v>25</v>
      </c>
      <c r="F156">
        <v>0</v>
      </c>
      <c r="G156" s="2">
        <v>365000</v>
      </c>
      <c r="H156" s="1">
        <v>2.1</v>
      </c>
      <c r="I156" s="2">
        <v>144</v>
      </c>
      <c r="J156">
        <v>0</v>
      </c>
      <c r="K156">
        <v>0</v>
      </c>
      <c r="L156" s="2">
        <v>172</v>
      </c>
      <c r="M156">
        <v>1</v>
      </c>
      <c r="N156" t="str">
        <f>IF(Table1[[#This Row],[time]]&lt;60, "Critical", IF(Table1[[#This Row],[time]]&lt;120,"Under Obs","Normal"))</f>
        <v>Normal</v>
      </c>
    </row>
    <row r="157" spans="1:14" x14ac:dyDescent="0.3">
      <c r="A157" s="2">
        <v>60</v>
      </c>
      <c r="B157">
        <v>0</v>
      </c>
      <c r="C157" s="2">
        <v>1211</v>
      </c>
      <c r="D157">
        <v>1</v>
      </c>
      <c r="E157" s="2">
        <v>35</v>
      </c>
      <c r="F157">
        <v>0</v>
      </c>
      <c r="G157" s="2">
        <v>263358.03000000003</v>
      </c>
      <c r="H157" s="1">
        <v>1.8</v>
      </c>
      <c r="I157" s="2">
        <v>113</v>
      </c>
      <c r="J157">
        <v>1</v>
      </c>
      <c r="K157">
        <v>1</v>
      </c>
      <c r="L157" s="2">
        <v>186</v>
      </c>
      <c r="M157">
        <v>0</v>
      </c>
      <c r="N157" t="str">
        <f>IF(Table1[[#This Row],[time]]&lt;60, "Critical", IF(Table1[[#This Row],[time]]&lt;120,"Under Obs","Normal"))</f>
        <v>Normal</v>
      </c>
    </row>
    <row r="158" spans="1:14" x14ac:dyDescent="0.3">
      <c r="A158" s="2">
        <v>60</v>
      </c>
      <c r="B158">
        <v>0</v>
      </c>
      <c r="C158" s="2">
        <v>59</v>
      </c>
      <c r="D158">
        <v>0</v>
      </c>
      <c r="E158" s="2">
        <v>25</v>
      </c>
      <c r="F158">
        <v>1</v>
      </c>
      <c r="G158" s="2">
        <v>212000</v>
      </c>
      <c r="H158" s="1">
        <v>3.5</v>
      </c>
      <c r="I158" s="2">
        <v>136</v>
      </c>
      <c r="J158">
        <v>1</v>
      </c>
      <c r="K158">
        <v>1</v>
      </c>
      <c r="L158" s="2">
        <v>187</v>
      </c>
      <c r="M158">
        <v>0</v>
      </c>
      <c r="N158" t="str">
        <f>IF(Table1[[#This Row],[time]]&lt;60, "Critical", IF(Table1[[#This Row],[time]]&lt;120,"Under Obs","Normal"))</f>
        <v>Normal</v>
      </c>
    </row>
    <row r="159" spans="1:14" x14ac:dyDescent="0.3">
      <c r="A159" s="2">
        <v>60</v>
      </c>
      <c r="B159">
        <v>1</v>
      </c>
      <c r="C159" s="2">
        <v>2281</v>
      </c>
      <c r="D159">
        <v>1</v>
      </c>
      <c r="E159" s="2">
        <v>40</v>
      </c>
      <c r="F159">
        <v>0</v>
      </c>
      <c r="G159" s="2">
        <v>283000</v>
      </c>
      <c r="H159" s="1">
        <v>1</v>
      </c>
      <c r="I159" s="2">
        <v>141</v>
      </c>
      <c r="J159">
        <v>0</v>
      </c>
      <c r="K159">
        <v>0</v>
      </c>
      <c r="L159" s="2">
        <v>187</v>
      </c>
      <c r="M159">
        <v>0</v>
      </c>
      <c r="N159" t="str">
        <f>IF(Table1[[#This Row],[time]]&lt;60, "Critical", IF(Table1[[#This Row],[time]]&lt;120,"Under Obs","Normal"))</f>
        <v>Normal</v>
      </c>
    </row>
    <row r="160" spans="1:14" x14ac:dyDescent="0.3">
      <c r="A160" s="2">
        <v>60</v>
      </c>
      <c r="B160">
        <v>0</v>
      </c>
      <c r="C160" s="2">
        <v>166</v>
      </c>
      <c r="D160">
        <v>0</v>
      </c>
      <c r="E160" s="2">
        <v>30</v>
      </c>
      <c r="F160">
        <v>0</v>
      </c>
      <c r="G160" s="2">
        <v>62000</v>
      </c>
      <c r="H160" s="1">
        <v>1.7</v>
      </c>
      <c r="I160" s="2">
        <v>127</v>
      </c>
      <c r="J160">
        <v>0</v>
      </c>
      <c r="K160">
        <v>0</v>
      </c>
      <c r="L160" s="2">
        <v>207</v>
      </c>
      <c r="M160">
        <v>1</v>
      </c>
      <c r="N160" t="str">
        <f>IF(Table1[[#This Row],[time]]&lt;60, "Critical", IF(Table1[[#This Row],[time]]&lt;120,"Under Obs","Normal"))</f>
        <v>Normal</v>
      </c>
    </row>
    <row r="161" spans="1:14" x14ac:dyDescent="0.3">
      <c r="A161" s="2">
        <v>60</v>
      </c>
      <c r="B161">
        <v>1</v>
      </c>
      <c r="C161" s="2">
        <v>257</v>
      </c>
      <c r="D161">
        <v>1</v>
      </c>
      <c r="E161" s="2">
        <v>30</v>
      </c>
      <c r="F161">
        <v>0</v>
      </c>
      <c r="G161" s="2">
        <v>150000</v>
      </c>
      <c r="H161" s="1">
        <v>1</v>
      </c>
      <c r="I161" s="2">
        <v>137</v>
      </c>
      <c r="J161">
        <v>1</v>
      </c>
      <c r="K161">
        <v>1</v>
      </c>
      <c r="L161" s="2">
        <v>245</v>
      </c>
      <c r="M161">
        <v>0</v>
      </c>
      <c r="N161" t="str">
        <f>IF(Table1[[#This Row],[time]]&lt;60, "Critical", IF(Table1[[#This Row],[time]]&lt;120,"Under Obs","Normal"))</f>
        <v>Normal</v>
      </c>
    </row>
    <row r="162" spans="1:14" x14ac:dyDescent="0.3">
      <c r="A162" s="2">
        <v>60</v>
      </c>
      <c r="B162">
        <v>0</v>
      </c>
      <c r="C162" s="2">
        <v>253</v>
      </c>
      <c r="D162">
        <v>0</v>
      </c>
      <c r="E162" s="2">
        <v>35</v>
      </c>
      <c r="F162">
        <v>0</v>
      </c>
      <c r="G162" s="2">
        <v>279000</v>
      </c>
      <c r="H162" s="1">
        <v>1.7</v>
      </c>
      <c r="I162" s="2">
        <v>140</v>
      </c>
      <c r="J162">
        <v>1</v>
      </c>
      <c r="K162">
        <v>0</v>
      </c>
      <c r="L162" s="2">
        <v>250</v>
      </c>
      <c r="M162">
        <v>0</v>
      </c>
      <c r="N162" t="str">
        <f>IF(Table1[[#This Row],[time]]&lt;60, "Critical", IF(Table1[[#This Row],[time]]&lt;120,"Under Obs","Normal"))</f>
        <v>Normal</v>
      </c>
    </row>
    <row r="163" spans="1:14" x14ac:dyDescent="0.3">
      <c r="A163" s="2">
        <v>60</v>
      </c>
      <c r="B163">
        <v>0</v>
      </c>
      <c r="C163" s="2">
        <v>320</v>
      </c>
      <c r="D163">
        <v>0</v>
      </c>
      <c r="E163" s="2">
        <v>35</v>
      </c>
      <c r="F163">
        <v>0</v>
      </c>
      <c r="G163" s="2">
        <v>133000</v>
      </c>
      <c r="H163" s="1">
        <v>1.4</v>
      </c>
      <c r="I163" s="2">
        <v>139</v>
      </c>
      <c r="J163">
        <v>1</v>
      </c>
      <c r="K163">
        <v>0</v>
      </c>
      <c r="L163" s="2">
        <v>258</v>
      </c>
      <c r="M163">
        <v>0</v>
      </c>
      <c r="N163" t="str">
        <f>IF(Table1[[#This Row],[time]]&lt;60, "Critical", IF(Table1[[#This Row],[time]]&lt;120,"Under Obs","Normal"))</f>
        <v>Normal</v>
      </c>
    </row>
    <row r="164" spans="1:14" x14ac:dyDescent="0.3">
      <c r="A164" s="2">
        <v>60</v>
      </c>
      <c r="B164">
        <v>0</v>
      </c>
      <c r="C164" s="2">
        <v>581</v>
      </c>
      <c r="D164">
        <v>0</v>
      </c>
      <c r="E164" s="2">
        <v>38</v>
      </c>
      <c r="F164">
        <v>0</v>
      </c>
      <c r="G164" s="2">
        <v>263358</v>
      </c>
      <c r="H164" s="1">
        <v>1.4</v>
      </c>
      <c r="I164" s="2">
        <v>137</v>
      </c>
      <c r="J164">
        <v>1</v>
      </c>
      <c r="K164">
        <v>0</v>
      </c>
      <c r="L164" s="2">
        <v>130</v>
      </c>
      <c r="M164">
        <v>0</v>
      </c>
      <c r="N164" t="str">
        <f>IF(Table1[[#This Row],[time]]&lt;60, "Critical", IF(Table1[[#This Row],[time]]&lt;120,"Under Obs","Normal"))</f>
        <v>Normal</v>
      </c>
    </row>
    <row r="165" spans="1:14" x14ac:dyDescent="0.3">
      <c r="A165" s="2">
        <v>60.667000000000002</v>
      </c>
      <c r="B165">
        <v>1</v>
      </c>
      <c r="C165" s="2">
        <v>104</v>
      </c>
      <c r="D165">
        <v>1</v>
      </c>
      <c r="E165" s="2">
        <v>30</v>
      </c>
      <c r="F165">
        <v>0</v>
      </c>
      <c r="G165" s="2">
        <v>389000</v>
      </c>
      <c r="H165" s="1">
        <v>1.5</v>
      </c>
      <c r="I165" s="2">
        <v>136</v>
      </c>
      <c r="J165">
        <v>1</v>
      </c>
      <c r="K165">
        <v>0</v>
      </c>
      <c r="L165" s="2">
        <v>171</v>
      </c>
      <c r="M165">
        <v>1</v>
      </c>
      <c r="N165" t="str">
        <f>IF(Table1[[#This Row],[time]]&lt;60, "Critical", IF(Table1[[#This Row],[time]]&lt;120,"Under Obs","Normal"))</f>
        <v>Normal</v>
      </c>
    </row>
    <row r="166" spans="1:14" x14ac:dyDescent="0.3">
      <c r="A166" s="2">
        <v>60.667000000000002</v>
      </c>
      <c r="B166">
        <v>1</v>
      </c>
      <c r="C166" s="2">
        <v>151</v>
      </c>
      <c r="D166">
        <v>1</v>
      </c>
      <c r="E166" s="2">
        <v>40</v>
      </c>
      <c r="F166">
        <v>1</v>
      </c>
      <c r="G166" s="2">
        <v>201000</v>
      </c>
      <c r="H166" s="1">
        <v>1</v>
      </c>
      <c r="I166" s="2">
        <v>136</v>
      </c>
      <c r="J166">
        <v>0</v>
      </c>
      <c r="K166">
        <v>0</v>
      </c>
      <c r="L166" s="2">
        <v>172</v>
      </c>
      <c r="M166">
        <v>0</v>
      </c>
      <c r="N166" t="str">
        <f>IF(Table1[[#This Row],[time]]&lt;60, "Critical", IF(Table1[[#This Row],[time]]&lt;120,"Under Obs","Normal"))</f>
        <v>Normal</v>
      </c>
    </row>
    <row r="167" spans="1:14" x14ac:dyDescent="0.3">
      <c r="A167" s="2">
        <v>61</v>
      </c>
      <c r="B167">
        <v>0</v>
      </c>
      <c r="C167" s="2">
        <v>248</v>
      </c>
      <c r="D167">
        <v>0</v>
      </c>
      <c r="E167" s="2">
        <v>30</v>
      </c>
      <c r="F167">
        <v>1</v>
      </c>
      <c r="G167" s="2">
        <v>267000</v>
      </c>
      <c r="H167" s="1">
        <v>0.7</v>
      </c>
      <c r="I167" s="2">
        <v>136</v>
      </c>
      <c r="J167">
        <v>1</v>
      </c>
      <c r="K167">
        <v>1</v>
      </c>
      <c r="L167" s="2">
        <v>104</v>
      </c>
      <c r="M167">
        <v>0</v>
      </c>
      <c r="N167" t="str">
        <f>IF(Table1[[#This Row],[time]]&lt;60, "Critical", IF(Table1[[#This Row],[time]]&lt;120,"Under Obs","Normal"))</f>
        <v>Under Obs</v>
      </c>
    </row>
    <row r="168" spans="1:14" x14ac:dyDescent="0.3">
      <c r="A168" s="2">
        <v>61</v>
      </c>
      <c r="B168">
        <v>1</v>
      </c>
      <c r="C168" s="2">
        <v>84</v>
      </c>
      <c r="D168">
        <v>0</v>
      </c>
      <c r="E168" s="2">
        <v>40</v>
      </c>
      <c r="F168">
        <v>1</v>
      </c>
      <c r="G168" s="2">
        <v>229000</v>
      </c>
      <c r="H168" s="1">
        <v>0.9</v>
      </c>
      <c r="I168" s="2">
        <v>141</v>
      </c>
      <c r="J168">
        <v>0</v>
      </c>
      <c r="K168">
        <v>0</v>
      </c>
      <c r="L168" s="2">
        <v>110</v>
      </c>
      <c r="M168">
        <v>0</v>
      </c>
      <c r="N168" t="str">
        <f>IF(Table1[[#This Row],[time]]&lt;60, "Critical", IF(Table1[[#This Row],[time]]&lt;120,"Under Obs","Normal"))</f>
        <v>Under Obs</v>
      </c>
    </row>
    <row r="169" spans="1:14" x14ac:dyDescent="0.3">
      <c r="A169" s="2">
        <v>61</v>
      </c>
      <c r="B169">
        <v>1</v>
      </c>
      <c r="C169" s="2">
        <v>80</v>
      </c>
      <c r="D169">
        <v>1</v>
      </c>
      <c r="E169" s="2">
        <v>38</v>
      </c>
      <c r="F169">
        <v>0</v>
      </c>
      <c r="G169" s="2">
        <v>282000</v>
      </c>
      <c r="H169" s="1">
        <v>1.4</v>
      </c>
      <c r="I169" s="2">
        <v>137</v>
      </c>
      <c r="J169">
        <v>1</v>
      </c>
      <c r="K169">
        <v>0</v>
      </c>
      <c r="L169" s="2">
        <v>213</v>
      </c>
      <c r="M169">
        <v>0</v>
      </c>
      <c r="N169" t="str">
        <f>IF(Table1[[#This Row],[time]]&lt;60, "Critical", IF(Table1[[#This Row],[time]]&lt;120,"Under Obs","Normal"))</f>
        <v>Normal</v>
      </c>
    </row>
    <row r="170" spans="1:14" x14ac:dyDescent="0.3">
      <c r="A170" s="2">
        <v>61</v>
      </c>
      <c r="B170">
        <v>0</v>
      </c>
      <c r="C170" s="2">
        <v>582</v>
      </c>
      <c r="D170">
        <v>1</v>
      </c>
      <c r="E170" s="2">
        <v>38</v>
      </c>
      <c r="F170">
        <v>0</v>
      </c>
      <c r="G170" s="2">
        <v>147000</v>
      </c>
      <c r="H170" s="1">
        <v>1.2</v>
      </c>
      <c r="I170" s="2">
        <v>141</v>
      </c>
      <c r="J170">
        <v>1</v>
      </c>
      <c r="K170">
        <v>0</v>
      </c>
      <c r="L170" s="2">
        <v>237</v>
      </c>
      <c r="M170">
        <v>0</v>
      </c>
      <c r="N170" t="str">
        <f>IF(Table1[[#This Row],[time]]&lt;60, "Critical", IF(Table1[[#This Row],[time]]&lt;120,"Under Obs","Normal"))</f>
        <v>Normal</v>
      </c>
    </row>
    <row r="171" spans="1:14" x14ac:dyDescent="0.3">
      <c r="A171" s="2">
        <v>62</v>
      </c>
      <c r="B171">
        <v>0</v>
      </c>
      <c r="C171" s="2">
        <v>231</v>
      </c>
      <c r="D171">
        <v>0</v>
      </c>
      <c r="E171" s="2">
        <v>25</v>
      </c>
      <c r="F171">
        <v>1</v>
      </c>
      <c r="G171" s="2">
        <v>253000</v>
      </c>
      <c r="H171" s="1">
        <v>0.9</v>
      </c>
      <c r="I171" s="2">
        <v>140</v>
      </c>
      <c r="J171">
        <v>1</v>
      </c>
      <c r="K171">
        <v>1</v>
      </c>
      <c r="L171" s="2">
        <v>10</v>
      </c>
      <c r="M171">
        <v>1</v>
      </c>
      <c r="N171" t="str">
        <f>IF(Table1[[#This Row],[time]]&lt;60, "Critical", IF(Table1[[#This Row],[time]]&lt;120,"Under Obs","Normal"))</f>
        <v>Critical</v>
      </c>
    </row>
    <row r="172" spans="1:14" x14ac:dyDescent="0.3">
      <c r="A172" s="2">
        <v>62</v>
      </c>
      <c r="B172">
        <v>0</v>
      </c>
      <c r="C172" s="2">
        <v>281</v>
      </c>
      <c r="D172">
        <v>1</v>
      </c>
      <c r="E172" s="2">
        <v>35</v>
      </c>
      <c r="F172">
        <v>0</v>
      </c>
      <c r="G172" s="2">
        <v>221000</v>
      </c>
      <c r="H172" s="1">
        <v>1</v>
      </c>
      <c r="I172" s="2">
        <v>136</v>
      </c>
      <c r="J172">
        <v>0</v>
      </c>
      <c r="K172">
        <v>0</v>
      </c>
      <c r="L172" s="2">
        <v>108</v>
      </c>
      <c r="M172">
        <v>0</v>
      </c>
      <c r="N172" t="str">
        <f>IF(Table1[[#This Row],[time]]&lt;60, "Critical", IF(Table1[[#This Row],[time]]&lt;120,"Under Obs","Normal"))</f>
        <v>Under Obs</v>
      </c>
    </row>
    <row r="173" spans="1:14" x14ac:dyDescent="0.3">
      <c r="A173" s="2">
        <v>62</v>
      </c>
      <c r="B173">
        <v>0</v>
      </c>
      <c r="C173" s="2">
        <v>30</v>
      </c>
      <c r="D173">
        <v>1</v>
      </c>
      <c r="E173" s="2">
        <v>60</v>
      </c>
      <c r="F173">
        <v>1</v>
      </c>
      <c r="G173" s="2">
        <v>244000</v>
      </c>
      <c r="H173" s="1">
        <v>0.9</v>
      </c>
      <c r="I173" s="2">
        <v>139</v>
      </c>
      <c r="J173">
        <v>1</v>
      </c>
      <c r="K173">
        <v>0</v>
      </c>
      <c r="L173" s="2">
        <v>117</v>
      </c>
      <c r="M173">
        <v>0</v>
      </c>
      <c r="N173" t="str">
        <f>IF(Table1[[#This Row],[time]]&lt;60, "Critical", IF(Table1[[#This Row],[time]]&lt;120,"Under Obs","Normal"))</f>
        <v>Under Obs</v>
      </c>
    </row>
    <row r="174" spans="1:14" x14ac:dyDescent="0.3">
      <c r="A174" s="2">
        <v>62</v>
      </c>
      <c r="B174">
        <v>1</v>
      </c>
      <c r="C174" s="2">
        <v>655</v>
      </c>
      <c r="D174">
        <v>0</v>
      </c>
      <c r="E174" s="2">
        <v>40</v>
      </c>
      <c r="F174">
        <v>0</v>
      </c>
      <c r="G174" s="2">
        <v>283000</v>
      </c>
      <c r="H174" s="1">
        <v>0.7</v>
      </c>
      <c r="I174" s="2">
        <v>133</v>
      </c>
      <c r="J174">
        <v>0</v>
      </c>
      <c r="K174">
        <v>0</v>
      </c>
      <c r="L174" s="2">
        <v>233</v>
      </c>
      <c r="M174">
        <v>0</v>
      </c>
      <c r="N174" t="str">
        <f>IF(Table1[[#This Row],[time]]&lt;60, "Critical", IF(Table1[[#This Row],[time]]&lt;120,"Under Obs","Normal"))</f>
        <v>Normal</v>
      </c>
    </row>
    <row r="175" spans="1:14" x14ac:dyDescent="0.3">
      <c r="A175" s="2">
        <v>62</v>
      </c>
      <c r="B175">
        <v>0</v>
      </c>
      <c r="C175" s="2">
        <v>61</v>
      </c>
      <c r="D175">
        <v>1</v>
      </c>
      <c r="E175" s="2">
        <v>38</v>
      </c>
      <c r="F175">
        <v>1</v>
      </c>
      <c r="G175" s="2">
        <v>155000</v>
      </c>
      <c r="H175" s="1">
        <v>1.1000000000000001</v>
      </c>
      <c r="I175" s="2">
        <v>143</v>
      </c>
      <c r="J175">
        <v>1</v>
      </c>
      <c r="K175">
        <v>1</v>
      </c>
      <c r="L175" s="2">
        <v>270</v>
      </c>
      <c r="M175">
        <v>0</v>
      </c>
      <c r="N175" t="str">
        <f>IF(Table1[[#This Row],[time]]&lt;60, "Critical", IF(Table1[[#This Row],[time]]&lt;120,"Under Obs","Normal"))</f>
        <v>Normal</v>
      </c>
    </row>
    <row r="176" spans="1:14" x14ac:dyDescent="0.3">
      <c r="A176" s="2">
        <v>63</v>
      </c>
      <c r="B176">
        <v>1</v>
      </c>
      <c r="C176" s="2">
        <v>514</v>
      </c>
      <c r="D176">
        <v>1</v>
      </c>
      <c r="E176" s="2">
        <v>25</v>
      </c>
      <c r="F176">
        <v>1</v>
      </c>
      <c r="G176" s="2">
        <v>254000</v>
      </c>
      <c r="H176" s="1">
        <v>1.3</v>
      </c>
      <c r="I176" s="2">
        <v>134</v>
      </c>
      <c r="J176">
        <v>1</v>
      </c>
      <c r="K176">
        <v>0</v>
      </c>
      <c r="L176" s="2">
        <v>83</v>
      </c>
      <c r="M176">
        <v>0</v>
      </c>
      <c r="N176" t="str">
        <f>IF(Table1[[#This Row],[time]]&lt;60, "Critical", IF(Table1[[#This Row],[time]]&lt;120,"Under Obs","Normal"))</f>
        <v>Under Obs</v>
      </c>
    </row>
    <row r="177" spans="1:14" x14ac:dyDescent="0.3">
      <c r="A177" s="2">
        <v>63</v>
      </c>
      <c r="B177">
        <v>1</v>
      </c>
      <c r="C177" s="2">
        <v>61</v>
      </c>
      <c r="D177">
        <v>1</v>
      </c>
      <c r="E177" s="2">
        <v>40</v>
      </c>
      <c r="F177">
        <v>0</v>
      </c>
      <c r="G177" s="2">
        <v>221000</v>
      </c>
      <c r="H177" s="1">
        <v>1.1000000000000001</v>
      </c>
      <c r="I177" s="2">
        <v>140</v>
      </c>
      <c r="J177">
        <v>0</v>
      </c>
      <c r="K177">
        <v>0</v>
      </c>
      <c r="L177" s="2">
        <v>86</v>
      </c>
      <c r="M177">
        <v>0</v>
      </c>
      <c r="N177" t="str">
        <f>IF(Table1[[#This Row],[time]]&lt;60, "Critical", IF(Table1[[#This Row],[time]]&lt;120,"Under Obs","Normal"))</f>
        <v>Under Obs</v>
      </c>
    </row>
    <row r="178" spans="1:14" x14ac:dyDescent="0.3">
      <c r="A178" s="2">
        <v>63</v>
      </c>
      <c r="B178">
        <v>0</v>
      </c>
      <c r="C178" s="2">
        <v>936</v>
      </c>
      <c r="D178">
        <v>0</v>
      </c>
      <c r="E178" s="2">
        <v>38</v>
      </c>
      <c r="F178">
        <v>0</v>
      </c>
      <c r="G178" s="2">
        <v>304000</v>
      </c>
      <c r="H178" s="1">
        <v>1.1000000000000001</v>
      </c>
      <c r="I178" s="2">
        <v>133</v>
      </c>
      <c r="J178">
        <v>1</v>
      </c>
      <c r="K178">
        <v>1</v>
      </c>
      <c r="L178" s="2">
        <v>88</v>
      </c>
      <c r="M178">
        <v>0</v>
      </c>
      <c r="N178" t="str">
        <f>IF(Table1[[#This Row],[time]]&lt;60, "Critical", IF(Table1[[#This Row],[time]]&lt;120,"Under Obs","Normal"))</f>
        <v>Under Obs</v>
      </c>
    </row>
    <row r="179" spans="1:14" x14ac:dyDescent="0.3">
      <c r="A179" s="2">
        <v>63</v>
      </c>
      <c r="B179">
        <v>0</v>
      </c>
      <c r="C179" s="2">
        <v>193</v>
      </c>
      <c r="D179">
        <v>0</v>
      </c>
      <c r="E179" s="2">
        <v>60</v>
      </c>
      <c r="F179">
        <v>1</v>
      </c>
      <c r="G179" s="2">
        <v>295000</v>
      </c>
      <c r="H179" s="1">
        <v>1.3</v>
      </c>
      <c r="I179" s="2">
        <v>145</v>
      </c>
      <c r="J179">
        <v>1</v>
      </c>
      <c r="K179">
        <v>1</v>
      </c>
      <c r="L179" s="2">
        <v>107</v>
      </c>
      <c r="M179">
        <v>0</v>
      </c>
      <c r="N179" t="str">
        <f>IF(Table1[[#This Row],[time]]&lt;60, "Critical", IF(Table1[[#This Row],[time]]&lt;120,"Under Obs","Normal"))</f>
        <v>Under Obs</v>
      </c>
    </row>
    <row r="180" spans="1:14" x14ac:dyDescent="0.3">
      <c r="A180" s="2">
        <v>63</v>
      </c>
      <c r="B180">
        <v>1</v>
      </c>
      <c r="C180" s="2">
        <v>582</v>
      </c>
      <c r="D180">
        <v>0</v>
      </c>
      <c r="E180" s="2">
        <v>40</v>
      </c>
      <c r="F180">
        <v>0</v>
      </c>
      <c r="G180" s="2">
        <v>448000</v>
      </c>
      <c r="H180" s="1">
        <v>0.9</v>
      </c>
      <c r="I180" s="2">
        <v>137</v>
      </c>
      <c r="J180">
        <v>1</v>
      </c>
      <c r="K180">
        <v>1</v>
      </c>
      <c r="L180" s="2">
        <v>123</v>
      </c>
      <c r="M180">
        <v>0</v>
      </c>
      <c r="N180" t="str">
        <f>IF(Table1[[#This Row],[time]]&lt;60, "Critical", IF(Table1[[#This Row],[time]]&lt;120,"Under Obs","Normal"))</f>
        <v>Normal</v>
      </c>
    </row>
    <row r="181" spans="1:14" x14ac:dyDescent="0.3">
      <c r="A181" s="2">
        <v>63</v>
      </c>
      <c r="B181">
        <v>1</v>
      </c>
      <c r="C181" s="2">
        <v>122</v>
      </c>
      <c r="D181">
        <v>1</v>
      </c>
      <c r="E181" s="2">
        <v>60</v>
      </c>
      <c r="F181">
        <v>0</v>
      </c>
      <c r="G181" s="2">
        <v>267000</v>
      </c>
      <c r="H181" s="1">
        <v>1.2</v>
      </c>
      <c r="I181" s="2">
        <v>145</v>
      </c>
      <c r="J181">
        <v>1</v>
      </c>
      <c r="K181">
        <v>0</v>
      </c>
      <c r="L181" s="2">
        <v>147</v>
      </c>
      <c r="M181">
        <v>0</v>
      </c>
      <c r="N181" t="str">
        <f>IF(Table1[[#This Row],[time]]&lt;60, "Critical", IF(Table1[[#This Row],[time]]&lt;120,"Under Obs","Normal"))</f>
        <v>Normal</v>
      </c>
    </row>
    <row r="182" spans="1:14" x14ac:dyDescent="0.3">
      <c r="A182" s="2">
        <v>63</v>
      </c>
      <c r="B182">
        <v>1</v>
      </c>
      <c r="C182" s="2">
        <v>1767</v>
      </c>
      <c r="D182">
        <v>0</v>
      </c>
      <c r="E182" s="2">
        <v>45</v>
      </c>
      <c r="F182">
        <v>0</v>
      </c>
      <c r="G182" s="2">
        <v>73000</v>
      </c>
      <c r="H182" s="1">
        <v>0.7</v>
      </c>
      <c r="I182" s="2">
        <v>137</v>
      </c>
      <c r="J182">
        <v>1</v>
      </c>
      <c r="K182">
        <v>0</v>
      </c>
      <c r="L182" s="2">
        <v>186</v>
      </c>
      <c r="M182">
        <v>0</v>
      </c>
      <c r="N182" t="str">
        <f>IF(Table1[[#This Row],[time]]&lt;60, "Critical", IF(Table1[[#This Row],[time]]&lt;120,"Under Obs","Normal"))</f>
        <v>Normal</v>
      </c>
    </row>
    <row r="183" spans="1:14" x14ac:dyDescent="0.3">
      <c r="A183" s="2">
        <v>63</v>
      </c>
      <c r="B183">
        <v>1</v>
      </c>
      <c r="C183" s="2">
        <v>103</v>
      </c>
      <c r="D183">
        <v>1</v>
      </c>
      <c r="E183" s="2">
        <v>35</v>
      </c>
      <c r="F183">
        <v>0</v>
      </c>
      <c r="G183" s="2">
        <v>179000</v>
      </c>
      <c r="H183" s="1">
        <v>0.9</v>
      </c>
      <c r="I183" s="2">
        <v>136</v>
      </c>
      <c r="J183">
        <v>1</v>
      </c>
      <c r="K183">
        <v>1</v>
      </c>
      <c r="L183" s="2">
        <v>270</v>
      </c>
      <c r="M183">
        <v>0</v>
      </c>
      <c r="N183" t="str">
        <f>IF(Table1[[#This Row],[time]]&lt;60, "Critical", IF(Table1[[#This Row],[time]]&lt;120,"Under Obs","Normal"))</f>
        <v>Normal</v>
      </c>
    </row>
    <row r="184" spans="1:14" x14ac:dyDescent="0.3">
      <c r="A184" s="2">
        <v>64</v>
      </c>
      <c r="B184">
        <v>0</v>
      </c>
      <c r="C184" s="2">
        <v>1610</v>
      </c>
      <c r="D184">
        <v>0</v>
      </c>
      <c r="E184" s="2">
        <v>60</v>
      </c>
      <c r="F184">
        <v>0</v>
      </c>
      <c r="G184" s="2">
        <v>242000</v>
      </c>
      <c r="H184" s="1">
        <v>1</v>
      </c>
      <c r="I184" s="2">
        <v>137</v>
      </c>
      <c r="J184">
        <v>1</v>
      </c>
      <c r="K184">
        <v>0</v>
      </c>
      <c r="L184" s="2">
        <v>113</v>
      </c>
      <c r="M184">
        <v>0</v>
      </c>
      <c r="N184" t="str">
        <f>IF(Table1[[#This Row],[time]]&lt;60, "Critical", IF(Table1[[#This Row],[time]]&lt;120,"Under Obs","Normal"))</f>
        <v>Under Obs</v>
      </c>
    </row>
    <row r="185" spans="1:14" x14ac:dyDescent="0.3">
      <c r="A185" s="2">
        <v>64</v>
      </c>
      <c r="B185">
        <v>1</v>
      </c>
      <c r="C185" s="2">
        <v>62</v>
      </c>
      <c r="D185">
        <v>0</v>
      </c>
      <c r="E185" s="2">
        <v>60</v>
      </c>
      <c r="F185">
        <v>0</v>
      </c>
      <c r="G185" s="2">
        <v>309000</v>
      </c>
      <c r="H185" s="1">
        <v>1.5</v>
      </c>
      <c r="I185" s="2">
        <v>135</v>
      </c>
      <c r="J185">
        <v>0</v>
      </c>
      <c r="K185">
        <v>0</v>
      </c>
      <c r="L185" s="2">
        <v>174</v>
      </c>
      <c r="M185">
        <v>0</v>
      </c>
      <c r="N185" t="str">
        <f>IF(Table1[[#This Row],[time]]&lt;60, "Critical", IF(Table1[[#This Row],[time]]&lt;120,"Under Obs","Normal"))</f>
        <v>Normal</v>
      </c>
    </row>
    <row r="186" spans="1:14" x14ac:dyDescent="0.3">
      <c r="A186" s="2">
        <v>64</v>
      </c>
      <c r="B186">
        <v>0</v>
      </c>
      <c r="C186" s="2">
        <v>143</v>
      </c>
      <c r="D186">
        <v>0</v>
      </c>
      <c r="E186" s="2">
        <v>25</v>
      </c>
      <c r="F186">
        <v>0</v>
      </c>
      <c r="G186" s="2">
        <v>246000</v>
      </c>
      <c r="H186" s="1">
        <v>2.4</v>
      </c>
      <c r="I186" s="2">
        <v>135</v>
      </c>
      <c r="J186">
        <v>1</v>
      </c>
      <c r="K186">
        <v>0</v>
      </c>
      <c r="L186" s="2">
        <v>214</v>
      </c>
      <c r="M186">
        <v>0</v>
      </c>
      <c r="N186" t="str">
        <f>IF(Table1[[#This Row],[time]]&lt;60, "Critical", IF(Table1[[#This Row],[time]]&lt;120,"Under Obs","Normal"))</f>
        <v>Normal</v>
      </c>
    </row>
    <row r="187" spans="1:14" x14ac:dyDescent="0.3">
      <c r="A187" s="2">
        <v>65</v>
      </c>
      <c r="B187">
        <v>0</v>
      </c>
      <c r="C187" s="2">
        <v>146</v>
      </c>
      <c r="D187">
        <v>0</v>
      </c>
      <c r="E187" s="2">
        <v>20</v>
      </c>
      <c r="F187">
        <v>0</v>
      </c>
      <c r="G187" s="2">
        <v>162000</v>
      </c>
      <c r="H187" s="1">
        <v>1.3</v>
      </c>
      <c r="I187" s="2">
        <v>129</v>
      </c>
      <c r="J187">
        <v>1</v>
      </c>
      <c r="K187">
        <v>1</v>
      </c>
      <c r="L187" s="2">
        <v>7</v>
      </c>
      <c r="M187">
        <v>1</v>
      </c>
      <c r="N187" t="str">
        <f>IF(Table1[[#This Row],[time]]&lt;60, "Critical", IF(Table1[[#This Row],[time]]&lt;120,"Under Obs","Normal"))</f>
        <v>Critical</v>
      </c>
    </row>
    <row r="188" spans="1:14" x14ac:dyDescent="0.3">
      <c r="A188" s="2">
        <v>65</v>
      </c>
      <c r="B188">
        <v>1</v>
      </c>
      <c r="C188" s="2">
        <v>160</v>
      </c>
      <c r="D188">
        <v>1</v>
      </c>
      <c r="E188" s="2">
        <v>20</v>
      </c>
      <c r="F188">
        <v>0</v>
      </c>
      <c r="G188" s="2">
        <v>327000</v>
      </c>
      <c r="H188" s="1">
        <v>2.7</v>
      </c>
      <c r="I188" s="2">
        <v>116</v>
      </c>
      <c r="J188">
        <v>0</v>
      </c>
      <c r="K188">
        <v>0</v>
      </c>
      <c r="L188" s="2">
        <v>8</v>
      </c>
      <c r="M188">
        <v>1</v>
      </c>
      <c r="N188" t="str">
        <f>IF(Table1[[#This Row],[time]]&lt;60, "Critical", IF(Table1[[#This Row],[time]]&lt;120,"Under Obs","Normal"))</f>
        <v>Critical</v>
      </c>
    </row>
    <row r="189" spans="1:14" x14ac:dyDescent="0.3">
      <c r="A189" s="2">
        <v>65</v>
      </c>
      <c r="B189">
        <v>0</v>
      </c>
      <c r="C189" s="2">
        <v>157</v>
      </c>
      <c r="D189">
        <v>0</v>
      </c>
      <c r="E189" s="2">
        <v>65</v>
      </c>
      <c r="F189">
        <v>0</v>
      </c>
      <c r="G189" s="2">
        <v>263358.03000000003</v>
      </c>
      <c r="H189" s="1">
        <v>1.5</v>
      </c>
      <c r="I189" s="2">
        <v>138</v>
      </c>
      <c r="J189">
        <v>0</v>
      </c>
      <c r="K189">
        <v>0</v>
      </c>
      <c r="L189" s="2">
        <v>10</v>
      </c>
      <c r="M189">
        <v>1</v>
      </c>
      <c r="N189" t="str">
        <f>IF(Table1[[#This Row],[time]]&lt;60, "Critical", IF(Table1[[#This Row],[time]]&lt;120,"Under Obs","Normal"))</f>
        <v>Critical</v>
      </c>
    </row>
    <row r="190" spans="1:14" x14ac:dyDescent="0.3">
      <c r="A190" s="2">
        <v>65</v>
      </c>
      <c r="B190">
        <v>1</v>
      </c>
      <c r="C190" s="2">
        <v>52</v>
      </c>
      <c r="D190">
        <v>0</v>
      </c>
      <c r="E190" s="2">
        <v>25</v>
      </c>
      <c r="F190">
        <v>1</v>
      </c>
      <c r="G190" s="2">
        <v>276000</v>
      </c>
      <c r="H190" s="1">
        <v>1.3</v>
      </c>
      <c r="I190" s="2">
        <v>137</v>
      </c>
      <c r="J190">
        <v>0</v>
      </c>
      <c r="K190">
        <v>0</v>
      </c>
      <c r="L190" s="2">
        <v>16</v>
      </c>
      <c r="M190">
        <v>0</v>
      </c>
      <c r="N190" t="str">
        <f>IF(Table1[[#This Row],[time]]&lt;60, "Critical", IF(Table1[[#This Row],[time]]&lt;120,"Under Obs","Normal"))</f>
        <v>Critical</v>
      </c>
    </row>
    <row r="191" spans="1:14" x14ac:dyDescent="0.3">
      <c r="A191" s="2">
        <v>65</v>
      </c>
      <c r="B191">
        <v>1</v>
      </c>
      <c r="C191" s="2">
        <v>128</v>
      </c>
      <c r="D191">
        <v>1</v>
      </c>
      <c r="E191" s="2">
        <v>30</v>
      </c>
      <c r="F191">
        <v>1</v>
      </c>
      <c r="G191" s="2">
        <v>297000</v>
      </c>
      <c r="H191" s="1">
        <v>1.6</v>
      </c>
      <c r="I191" s="2">
        <v>136</v>
      </c>
      <c r="J191">
        <v>0</v>
      </c>
      <c r="K191">
        <v>0</v>
      </c>
      <c r="L191" s="2">
        <v>20</v>
      </c>
      <c r="M191">
        <v>1</v>
      </c>
      <c r="N191" t="str">
        <f>IF(Table1[[#This Row],[time]]&lt;60, "Critical", IF(Table1[[#This Row],[time]]&lt;120,"Under Obs","Normal"))</f>
        <v>Critical</v>
      </c>
    </row>
    <row r="192" spans="1:14" x14ac:dyDescent="0.3">
      <c r="A192" s="2">
        <v>65</v>
      </c>
      <c r="B192">
        <v>0</v>
      </c>
      <c r="C192" s="2">
        <v>94</v>
      </c>
      <c r="D192">
        <v>1</v>
      </c>
      <c r="E192" s="2">
        <v>50</v>
      </c>
      <c r="F192">
        <v>1</v>
      </c>
      <c r="G192" s="2">
        <v>188000</v>
      </c>
      <c r="H192" s="1">
        <v>1</v>
      </c>
      <c r="I192" s="2">
        <v>140</v>
      </c>
      <c r="J192">
        <v>1</v>
      </c>
      <c r="K192">
        <v>0</v>
      </c>
      <c r="L192" s="2">
        <v>29</v>
      </c>
      <c r="M192">
        <v>1</v>
      </c>
      <c r="N192" t="str">
        <f>IF(Table1[[#This Row],[time]]&lt;60, "Critical", IF(Table1[[#This Row],[time]]&lt;120,"Under Obs","Normal"))</f>
        <v>Critical</v>
      </c>
    </row>
    <row r="193" spans="1:14" x14ac:dyDescent="0.3">
      <c r="A193" s="2">
        <v>65</v>
      </c>
      <c r="B193">
        <v>0</v>
      </c>
      <c r="C193" s="2">
        <v>113</v>
      </c>
      <c r="D193">
        <v>1</v>
      </c>
      <c r="E193" s="2">
        <v>25</v>
      </c>
      <c r="F193">
        <v>0</v>
      </c>
      <c r="G193" s="2">
        <v>497000</v>
      </c>
      <c r="H193" s="1">
        <v>1.83</v>
      </c>
      <c r="I193" s="2">
        <v>135</v>
      </c>
      <c r="J193">
        <v>1</v>
      </c>
      <c r="K193">
        <v>0</v>
      </c>
      <c r="L193" s="2">
        <v>67</v>
      </c>
      <c r="M193">
        <v>1</v>
      </c>
      <c r="N193" t="str">
        <f>IF(Table1[[#This Row],[time]]&lt;60, "Critical", IF(Table1[[#This Row],[time]]&lt;120,"Under Obs","Normal"))</f>
        <v>Under Obs</v>
      </c>
    </row>
    <row r="194" spans="1:14" x14ac:dyDescent="0.3">
      <c r="A194" s="2">
        <v>65</v>
      </c>
      <c r="B194">
        <v>0</v>
      </c>
      <c r="C194" s="2">
        <v>224</v>
      </c>
      <c r="D194">
        <v>1</v>
      </c>
      <c r="E194" s="2">
        <v>50</v>
      </c>
      <c r="F194">
        <v>0</v>
      </c>
      <c r="G194" s="2">
        <v>149000</v>
      </c>
      <c r="H194" s="1">
        <v>1.3</v>
      </c>
      <c r="I194" s="2">
        <v>137</v>
      </c>
      <c r="J194">
        <v>1</v>
      </c>
      <c r="K194">
        <v>1</v>
      </c>
      <c r="L194" s="2">
        <v>72</v>
      </c>
      <c r="M194">
        <v>0</v>
      </c>
      <c r="N194" t="str">
        <f>IF(Table1[[#This Row],[time]]&lt;60, "Critical", IF(Table1[[#This Row],[time]]&lt;120,"Under Obs","Normal"))</f>
        <v>Under Obs</v>
      </c>
    </row>
    <row r="195" spans="1:14" x14ac:dyDescent="0.3">
      <c r="A195" s="2">
        <v>65</v>
      </c>
      <c r="B195">
        <v>1</v>
      </c>
      <c r="C195" s="2">
        <v>68</v>
      </c>
      <c r="D195">
        <v>1</v>
      </c>
      <c r="E195" s="2">
        <v>60</v>
      </c>
      <c r="F195">
        <v>1</v>
      </c>
      <c r="G195" s="2">
        <v>304000</v>
      </c>
      <c r="H195" s="1">
        <v>0.8</v>
      </c>
      <c r="I195" s="2">
        <v>140</v>
      </c>
      <c r="J195">
        <v>1</v>
      </c>
      <c r="K195">
        <v>0</v>
      </c>
      <c r="L195" s="2">
        <v>79</v>
      </c>
      <c r="M195">
        <v>0</v>
      </c>
      <c r="N195" t="str">
        <f>IF(Table1[[#This Row],[time]]&lt;60, "Critical", IF(Table1[[#This Row],[time]]&lt;120,"Under Obs","Normal"))</f>
        <v>Under Obs</v>
      </c>
    </row>
    <row r="196" spans="1:14" x14ac:dyDescent="0.3">
      <c r="A196" s="2">
        <v>65</v>
      </c>
      <c r="B196">
        <v>1</v>
      </c>
      <c r="C196" s="2">
        <v>305</v>
      </c>
      <c r="D196">
        <v>0</v>
      </c>
      <c r="E196" s="2">
        <v>25</v>
      </c>
      <c r="F196">
        <v>0</v>
      </c>
      <c r="G196" s="2">
        <v>298000</v>
      </c>
      <c r="H196" s="1">
        <v>1.1000000000000001</v>
      </c>
      <c r="I196" s="2">
        <v>141</v>
      </c>
      <c r="J196">
        <v>1</v>
      </c>
      <c r="K196">
        <v>0</v>
      </c>
      <c r="L196" s="2">
        <v>87</v>
      </c>
      <c r="M196">
        <v>0</v>
      </c>
      <c r="N196" t="str">
        <f>IF(Table1[[#This Row],[time]]&lt;60, "Critical", IF(Table1[[#This Row],[time]]&lt;120,"Under Obs","Normal"))</f>
        <v>Under Obs</v>
      </c>
    </row>
    <row r="197" spans="1:14" x14ac:dyDescent="0.3">
      <c r="A197" s="2">
        <v>65</v>
      </c>
      <c r="B197">
        <v>1</v>
      </c>
      <c r="C197" s="2">
        <v>113</v>
      </c>
      <c r="D197">
        <v>1</v>
      </c>
      <c r="E197" s="2">
        <v>60</v>
      </c>
      <c r="F197">
        <v>1</v>
      </c>
      <c r="G197" s="2">
        <v>203000</v>
      </c>
      <c r="H197" s="1">
        <v>0.9</v>
      </c>
      <c r="I197" s="2">
        <v>140</v>
      </c>
      <c r="J197">
        <v>0</v>
      </c>
      <c r="K197">
        <v>0</v>
      </c>
      <c r="L197" s="2">
        <v>94</v>
      </c>
      <c r="M197">
        <v>0</v>
      </c>
      <c r="N197" t="str">
        <f>IF(Table1[[#This Row],[time]]&lt;60, "Critical", IF(Table1[[#This Row],[time]]&lt;120,"Under Obs","Normal"))</f>
        <v>Under Obs</v>
      </c>
    </row>
    <row r="198" spans="1:14" x14ac:dyDescent="0.3">
      <c r="A198" s="2">
        <v>65</v>
      </c>
      <c r="B198">
        <v>1</v>
      </c>
      <c r="C198" s="2">
        <v>59</v>
      </c>
      <c r="D198">
        <v>1</v>
      </c>
      <c r="E198" s="2">
        <v>60</v>
      </c>
      <c r="F198">
        <v>0</v>
      </c>
      <c r="G198" s="2">
        <v>172000</v>
      </c>
      <c r="H198" s="1">
        <v>0.9</v>
      </c>
      <c r="I198" s="2">
        <v>137</v>
      </c>
      <c r="J198">
        <v>0</v>
      </c>
      <c r="K198">
        <v>0</v>
      </c>
      <c r="L198" s="2">
        <v>107</v>
      </c>
      <c r="M198">
        <v>0</v>
      </c>
      <c r="N198" t="str">
        <f>IF(Table1[[#This Row],[time]]&lt;60, "Critical", IF(Table1[[#This Row],[time]]&lt;120,"Under Obs","Normal"))</f>
        <v>Under Obs</v>
      </c>
    </row>
    <row r="199" spans="1:14" x14ac:dyDescent="0.3">
      <c r="A199" s="2">
        <v>65</v>
      </c>
      <c r="B199">
        <v>1</v>
      </c>
      <c r="C199" s="2">
        <v>335</v>
      </c>
      <c r="D199">
        <v>0</v>
      </c>
      <c r="E199" s="2">
        <v>35</v>
      </c>
      <c r="F199">
        <v>1</v>
      </c>
      <c r="G199" s="2">
        <v>235000</v>
      </c>
      <c r="H199" s="1">
        <v>0.8</v>
      </c>
      <c r="I199" s="2">
        <v>136</v>
      </c>
      <c r="J199">
        <v>0</v>
      </c>
      <c r="K199">
        <v>0</v>
      </c>
      <c r="L199" s="2">
        <v>120</v>
      </c>
      <c r="M199">
        <v>0</v>
      </c>
      <c r="N199" t="str">
        <f>IF(Table1[[#This Row],[time]]&lt;60, "Critical", IF(Table1[[#This Row],[time]]&lt;120,"Under Obs","Normal"))</f>
        <v>Normal</v>
      </c>
    </row>
    <row r="200" spans="1:14" x14ac:dyDescent="0.3">
      <c r="A200" s="2">
        <v>65</v>
      </c>
      <c r="B200">
        <v>0</v>
      </c>
      <c r="C200" s="2">
        <v>582</v>
      </c>
      <c r="D200">
        <v>1</v>
      </c>
      <c r="E200" s="2">
        <v>40</v>
      </c>
      <c r="F200">
        <v>0</v>
      </c>
      <c r="G200" s="2">
        <v>270000</v>
      </c>
      <c r="H200" s="1">
        <v>1</v>
      </c>
      <c r="I200" s="2">
        <v>138</v>
      </c>
      <c r="J200">
        <v>0</v>
      </c>
      <c r="K200">
        <v>0</v>
      </c>
      <c r="L200" s="2">
        <v>140</v>
      </c>
      <c r="M200">
        <v>0</v>
      </c>
      <c r="N200" t="str">
        <f>IF(Table1[[#This Row],[time]]&lt;60, "Critical", IF(Table1[[#This Row],[time]]&lt;120,"Under Obs","Normal"))</f>
        <v>Normal</v>
      </c>
    </row>
    <row r="201" spans="1:14" x14ac:dyDescent="0.3">
      <c r="A201" s="2">
        <v>65</v>
      </c>
      <c r="B201">
        <v>0</v>
      </c>
      <c r="C201" s="2">
        <v>198</v>
      </c>
      <c r="D201">
        <v>1</v>
      </c>
      <c r="E201" s="2">
        <v>35</v>
      </c>
      <c r="F201">
        <v>1</v>
      </c>
      <c r="G201" s="2">
        <v>281000</v>
      </c>
      <c r="H201" s="1">
        <v>0.9</v>
      </c>
      <c r="I201" s="2">
        <v>137</v>
      </c>
      <c r="J201">
        <v>1</v>
      </c>
      <c r="K201">
        <v>1</v>
      </c>
      <c r="L201" s="2">
        <v>146</v>
      </c>
      <c r="M201">
        <v>0</v>
      </c>
      <c r="N201" t="str">
        <f>IF(Table1[[#This Row],[time]]&lt;60, "Critical", IF(Table1[[#This Row],[time]]&lt;120,"Under Obs","Normal"))</f>
        <v>Normal</v>
      </c>
    </row>
    <row r="202" spans="1:14" x14ac:dyDescent="0.3">
      <c r="A202" s="2">
        <v>65</v>
      </c>
      <c r="B202">
        <v>0</v>
      </c>
      <c r="C202" s="2">
        <v>395</v>
      </c>
      <c r="D202">
        <v>1</v>
      </c>
      <c r="E202" s="2">
        <v>25</v>
      </c>
      <c r="F202">
        <v>0</v>
      </c>
      <c r="G202" s="2">
        <v>265000</v>
      </c>
      <c r="H202" s="1">
        <v>1.2</v>
      </c>
      <c r="I202" s="2">
        <v>136</v>
      </c>
      <c r="J202">
        <v>1</v>
      </c>
      <c r="K202">
        <v>1</v>
      </c>
      <c r="L202" s="2">
        <v>154</v>
      </c>
      <c r="M202">
        <v>1</v>
      </c>
      <c r="N202" t="str">
        <f>IF(Table1[[#This Row],[time]]&lt;60, "Critical", IF(Table1[[#This Row],[time]]&lt;120,"Under Obs","Normal"))</f>
        <v>Normal</v>
      </c>
    </row>
    <row r="203" spans="1:14" x14ac:dyDescent="0.3">
      <c r="A203" s="2">
        <v>65</v>
      </c>
      <c r="B203">
        <v>0</v>
      </c>
      <c r="C203" s="2">
        <v>167</v>
      </c>
      <c r="D203">
        <v>0</v>
      </c>
      <c r="E203" s="2">
        <v>30</v>
      </c>
      <c r="F203">
        <v>0</v>
      </c>
      <c r="G203" s="2">
        <v>259000</v>
      </c>
      <c r="H203" s="1">
        <v>0.8</v>
      </c>
      <c r="I203" s="2">
        <v>138</v>
      </c>
      <c r="J203">
        <v>0</v>
      </c>
      <c r="K203">
        <v>0</v>
      </c>
      <c r="L203" s="2">
        <v>186</v>
      </c>
      <c r="M203">
        <v>0</v>
      </c>
      <c r="N203" t="str">
        <f>IF(Table1[[#This Row],[time]]&lt;60, "Critical", IF(Table1[[#This Row],[time]]&lt;120,"Under Obs","Normal"))</f>
        <v>Normal</v>
      </c>
    </row>
    <row r="204" spans="1:14" x14ac:dyDescent="0.3">
      <c r="A204" s="2">
        <v>65</v>
      </c>
      <c r="B204">
        <v>1</v>
      </c>
      <c r="C204" s="2">
        <v>135</v>
      </c>
      <c r="D204">
        <v>0</v>
      </c>
      <c r="E204" s="2">
        <v>35</v>
      </c>
      <c r="F204">
        <v>1</v>
      </c>
      <c r="G204" s="2">
        <v>290000</v>
      </c>
      <c r="H204" s="1">
        <v>0.8</v>
      </c>
      <c r="I204" s="2">
        <v>134</v>
      </c>
      <c r="J204">
        <v>1</v>
      </c>
      <c r="K204">
        <v>0</v>
      </c>
      <c r="L204" s="2">
        <v>194</v>
      </c>
      <c r="M204">
        <v>0</v>
      </c>
      <c r="N204" t="str">
        <f>IF(Table1[[#This Row],[time]]&lt;60, "Critical", IF(Table1[[#This Row],[time]]&lt;120,"Under Obs","Normal"))</f>
        <v>Normal</v>
      </c>
    </row>
    <row r="205" spans="1:14" x14ac:dyDescent="0.3">
      <c r="A205" s="2">
        <v>65</v>
      </c>
      <c r="B205">
        <v>0</v>
      </c>
      <c r="C205" s="2">
        <v>118</v>
      </c>
      <c r="D205">
        <v>0</v>
      </c>
      <c r="E205" s="2">
        <v>50</v>
      </c>
      <c r="F205">
        <v>0</v>
      </c>
      <c r="G205" s="2">
        <v>194000</v>
      </c>
      <c r="H205" s="1">
        <v>1.1000000000000001</v>
      </c>
      <c r="I205" s="2">
        <v>145</v>
      </c>
      <c r="J205">
        <v>1</v>
      </c>
      <c r="K205">
        <v>1</v>
      </c>
      <c r="L205" s="2">
        <v>200</v>
      </c>
      <c r="M205">
        <v>0</v>
      </c>
      <c r="N205" t="str">
        <f>IF(Table1[[#This Row],[time]]&lt;60, "Critical", IF(Table1[[#This Row],[time]]&lt;120,"Under Obs","Normal"))</f>
        <v>Normal</v>
      </c>
    </row>
    <row r="206" spans="1:14" x14ac:dyDescent="0.3">
      <c r="A206" s="2">
        <v>65</v>
      </c>
      <c r="B206">
        <v>0</v>
      </c>
      <c r="C206" s="2">
        <v>56</v>
      </c>
      <c r="D206">
        <v>0</v>
      </c>
      <c r="E206" s="2">
        <v>25</v>
      </c>
      <c r="F206">
        <v>0</v>
      </c>
      <c r="G206" s="2">
        <v>237000</v>
      </c>
      <c r="H206" s="1">
        <v>5</v>
      </c>
      <c r="I206" s="2">
        <v>130</v>
      </c>
      <c r="J206">
        <v>0</v>
      </c>
      <c r="K206">
        <v>0</v>
      </c>
      <c r="L206" s="2">
        <v>207</v>
      </c>
      <c r="M206">
        <v>0</v>
      </c>
      <c r="N206" t="str">
        <f>IF(Table1[[#This Row],[time]]&lt;60, "Critical", IF(Table1[[#This Row],[time]]&lt;120,"Under Obs","Normal"))</f>
        <v>Normal</v>
      </c>
    </row>
    <row r="207" spans="1:14" x14ac:dyDescent="0.3">
      <c r="A207" s="2">
        <v>65</v>
      </c>
      <c r="B207">
        <v>1</v>
      </c>
      <c r="C207" s="2">
        <v>720</v>
      </c>
      <c r="D207">
        <v>1</v>
      </c>
      <c r="E207" s="2">
        <v>40</v>
      </c>
      <c r="F207">
        <v>0</v>
      </c>
      <c r="G207" s="2">
        <v>257000</v>
      </c>
      <c r="H207" s="1">
        <v>1</v>
      </c>
      <c r="I207" s="2">
        <v>136</v>
      </c>
      <c r="J207">
        <v>0</v>
      </c>
      <c r="K207">
        <v>0</v>
      </c>
      <c r="L207" s="2">
        <v>210</v>
      </c>
      <c r="M207">
        <v>0</v>
      </c>
      <c r="N207" t="str">
        <f>IF(Table1[[#This Row],[time]]&lt;60, "Critical", IF(Table1[[#This Row],[time]]&lt;120,"Under Obs","Normal"))</f>
        <v>Normal</v>
      </c>
    </row>
    <row r="208" spans="1:14" x14ac:dyDescent="0.3">
      <c r="A208" s="2">
        <v>65</v>
      </c>
      <c r="B208">
        <v>0</v>
      </c>
      <c r="C208" s="2">
        <v>582</v>
      </c>
      <c r="D208">
        <v>1</v>
      </c>
      <c r="E208" s="2">
        <v>30</v>
      </c>
      <c r="F208">
        <v>0</v>
      </c>
      <c r="G208" s="2">
        <v>249000</v>
      </c>
      <c r="H208" s="1">
        <v>1.3</v>
      </c>
      <c r="I208" s="2">
        <v>136</v>
      </c>
      <c r="J208">
        <v>1</v>
      </c>
      <c r="K208">
        <v>1</v>
      </c>
      <c r="L208" s="2">
        <v>212</v>
      </c>
      <c r="M208">
        <v>0</v>
      </c>
      <c r="N208" t="str">
        <f>IF(Table1[[#This Row],[time]]&lt;60, "Critical", IF(Table1[[#This Row],[time]]&lt;120,"Under Obs","Normal"))</f>
        <v>Normal</v>
      </c>
    </row>
    <row r="209" spans="1:14" x14ac:dyDescent="0.3">
      <c r="A209" s="2">
        <v>65</v>
      </c>
      <c r="B209">
        <v>0</v>
      </c>
      <c r="C209" s="2">
        <v>326</v>
      </c>
      <c r="D209">
        <v>0</v>
      </c>
      <c r="E209" s="2">
        <v>38</v>
      </c>
      <c r="F209">
        <v>0</v>
      </c>
      <c r="G209" s="2">
        <v>294000</v>
      </c>
      <c r="H209" s="1">
        <v>1.7</v>
      </c>
      <c r="I209" s="2">
        <v>139</v>
      </c>
      <c r="J209">
        <v>0</v>
      </c>
      <c r="K209">
        <v>0</v>
      </c>
      <c r="L209" s="2">
        <v>220</v>
      </c>
      <c r="M209">
        <v>0</v>
      </c>
      <c r="N209" t="str">
        <f>IF(Table1[[#This Row],[time]]&lt;60, "Critical", IF(Table1[[#This Row],[time]]&lt;120,"Under Obs","Normal"))</f>
        <v>Normal</v>
      </c>
    </row>
    <row r="210" spans="1:14" x14ac:dyDescent="0.3">
      <c r="A210" s="2">
        <v>65</v>
      </c>
      <c r="B210">
        <v>1</v>
      </c>
      <c r="C210" s="2">
        <v>258</v>
      </c>
      <c r="D210">
        <v>1</v>
      </c>
      <c r="E210" s="2">
        <v>25</v>
      </c>
      <c r="F210">
        <v>0</v>
      </c>
      <c r="G210" s="2">
        <v>198000</v>
      </c>
      <c r="H210" s="1">
        <v>1.4</v>
      </c>
      <c r="I210" s="2">
        <v>129</v>
      </c>
      <c r="J210">
        <v>1</v>
      </c>
      <c r="K210">
        <v>0</v>
      </c>
      <c r="L210" s="2">
        <v>235</v>
      </c>
      <c r="M210">
        <v>1</v>
      </c>
      <c r="N210" t="str">
        <f>IF(Table1[[#This Row],[time]]&lt;60, "Critical", IF(Table1[[#This Row],[time]]&lt;120,"Under Obs","Normal"))</f>
        <v>Normal</v>
      </c>
    </row>
    <row r="211" spans="1:14" x14ac:dyDescent="0.3">
      <c r="A211" s="2">
        <v>65</v>
      </c>
      <c r="B211">
        <v>0</v>
      </c>
      <c r="C211" s="2">
        <v>1688</v>
      </c>
      <c r="D211">
        <v>0</v>
      </c>
      <c r="E211" s="2">
        <v>38</v>
      </c>
      <c r="F211">
        <v>0</v>
      </c>
      <c r="G211" s="2">
        <v>263358.03000000003</v>
      </c>
      <c r="H211" s="1">
        <v>1.1000000000000001</v>
      </c>
      <c r="I211" s="2">
        <v>138</v>
      </c>
      <c r="J211">
        <v>1</v>
      </c>
      <c r="K211">
        <v>1</v>
      </c>
      <c r="L211" s="2">
        <v>250</v>
      </c>
      <c r="M211">
        <v>0</v>
      </c>
      <c r="N211" t="str">
        <f>IF(Table1[[#This Row],[time]]&lt;60, "Critical", IF(Table1[[#This Row],[time]]&lt;120,"Under Obs","Normal"))</f>
        <v>Normal</v>
      </c>
    </row>
    <row r="212" spans="1:14" x14ac:dyDescent="0.3">
      <c r="A212" s="2">
        <v>65</v>
      </c>
      <c r="B212">
        <v>0</v>
      </c>
      <c r="C212" s="2">
        <v>892</v>
      </c>
      <c r="D212">
        <v>1</v>
      </c>
      <c r="E212" s="2">
        <v>35</v>
      </c>
      <c r="F212">
        <v>0</v>
      </c>
      <c r="G212" s="2">
        <v>263358.03000000003</v>
      </c>
      <c r="H212" s="1">
        <v>1.1000000000000001</v>
      </c>
      <c r="I212" s="2">
        <v>142</v>
      </c>
      <c r="J212">
        <v>0</v>
      </c>
      <c r="K212">
        <v>0</v>
      </c>
      <c r="L212" s="2">
        <v>256</v>
      </c>
      <c r="M212">
        <v>0</v>
      </c>
      <c r="N212" t="str">
        <f>IF(Table1[[#This Row],[time]]&lt;60, "Critical", IF(Table1[[#This Row],[time]]&lt;120,"Under Obs","Normal"))</f>
        <v>Normal</v>
      </c>
    </row>
    <row r="213" spans="1:14" x14ac:dyDescent="0.3">
      <c r="A213" s="2">
        <v>66</v>
      </c>
      <c r="B213">
        <v>1</v>
      </c>
      <c r="C213" s="2">
        <v>68</v>
      </c>
      <c r="D213">
        <v>1</v>
      </c>
      <c r="E213" s="2">
        <v>38</v>
      </c>
      <c r="F213">
        <v>1</v>
      </c>
      <c r="G213" s="2">
        <v>162000</v>
      </c>
      <c r="H213" s="1">
        <v>1</v>
      </c>
      <c r="I213" s="2">
        <v>136</v>
      </c>
      <c r="J213">
        <v>0</v>
      </c>
      <c r="K213">
        <v>0</v>
      </c>
      <c r="L213" s="2">
        <v>95</v>
      </c>
      <c r="M213">
        <v>0</v>
      </c>
      <c r="N213" t="str">
        <f>IF(Table1[[#This Row],[time]]&lt;60, "Critical", IF(Table1[[#This Row],[time]]&lt;120,"Under Obs","Normal"))</f>
        <v>Under Obs</v>
      </c>
    </row>
    <row r="214" spans="1:14" x14ac:dyDescent="0.3">
      <c r="A214" s="2">
        <v>66</v>
      </c>
      <c r="B214">
        <v>1</v>
      </c>
      <c r="C214" s="2">
        <v>72</v>
      </c>
      <c r="D214">
        <v>0</v>
      </c>
      <c r="E214" s="2">
        <v>40</v>
      </c>
      <c r="F214">
        <v>1</v>
      </c>
      <c r="G214" s="2">
        <v>242000</v>
      </c>
      <c r="H214" s="1">
        <v>1.2</v>
      </c>
      <c r="I214" s="2">
        <v>134</v>
      </c>
      <c r="J214">
        <v>1</v>
      </c>
      <c r="K214">
        <v>0</v>
      </c>
      <c r="L214" s="2">
        <v>121</v>
      </c>
      <c r="M214">
        <v>0</v>
      </c>
      <c r="N214" t="str">
        <f>IF(Table1[[#This Row],[time]]&lt;60, "Critical", IF(Table1[[#This Row],[time]]&lt;120,"Under Obs","Normal"))</f>
        <v>Normal</v>
      </c>
    </row>
    <row r="215" spans="1:14" x14ac:dyDescent="0.3">
      <c r="A215" s="2">
        <v>67</v>
      </c>
      <c r="B215">
        <v>0</v>
      </c>
      <c r="C215" s="2">
        <v>582</v>
      </c>
      <c r="D215">
        <v>0</v>
      </c>
      <c r="E215" s="2">
        <v>50</v>
      </c>
      <c r="F215">
        <v>0</v>
      </c>
      <c r="G215" s="2">
        <v>263358.03000000003</v>
      </c>
      <c r="H215" s="1">
        <v>1.18</v>
      </c>
      <c r="I215" s="2">
        <v>137</v>
      </c>
      <c r="J215">
        <v>1</v>
      </c>
      <c r="K215">
        <v>1</v>
      </c>
      <c r="L215" s="2">
        <v>76</v>
      </c>
      <c r="M215">
        <v>0</v>
      </c>
      <c r="N215" t="str">
        <f>IF(Table1[[#This Row],[time]]&lt;60, "Critical", IF(Table1[[#This Row],[time]]&lt;120,"Under Obs","Normal"))</f>
        <v>Under Obs</v>
      </c>
    </row>
    <row r="216" spans="1:14" x14ac:dyDescent="0.3">
      <c r="A216" s="2">
        <v>67</v>
      </c>
      <c r="B216">
        <v>0</v>
      </c>
      <c r="C216" s="2">
        <v>213</v>
      </c>
      <c r="D216">
        <v>0</v>
      </c>
      <c r="E216" s="2">
        <v>38</v>
      </c>
      <c r="F216">
        <v>0</v>
      </c>
      <c r="G216" s="2">
        <v>215000</v>
      </c>
      <c r="H216" s="1">
        <v>1.2</v>
      </c>
      <c r="I216" s="2">
        <v>133</v>
      </c>
      <c r="J216">
        <v>0</v>
      </c>
      <c r="K216">
        <v>0</v>
      </c>
      <c r="L216" s="2">
        <v>245</v>
      </c>
      <c r="M216">
        <v>0</v>
      </c>
      <c r="N216" t="str">
        <f>IF(Table1[[#This Row],[time]]&lt;60, "Critical", IF(Table1[[#This Row],[time]]&lt;120,"Under Obs","Normal"))</f>
        <v>Normal</v>
      </c>
    </row>
    <row r="217" spans="1:14" x14ac:dyDescent="0.3">
      <c r="A217" s="2">
        <v>68</v>
      </c>
      <c r="B217">
        <v>1</v>
      </c>
      <c r="C217" s="2">
        <v>220</v>
      </c>
      <c r="D217">
        <v>0</v>
      </c>
      <c r="E217" s="2">
        <v>35</v>
      </c>
      <c r="F217">
        <v>1</v>
      </c>
      <c r="G217" s="2">
        <v>289000</v>
      </c>
      <c r="H217" s="1">
        <v>0.9</v>
      </c>
      <c r="I217" s="2">
        <v>140</v>
      </c>
      <c r="J217">
        <v>1</v>
      </c>
      <c r="K217">
        <v>1</v>
      </c>
      <c r="L217" s="2">
        <v>20</v>
      </c>
      <c r="M217">
        <v>1</v>
      </c>
      <c r="N217" t="str">
        <f>IF(Table1[[#This Row],[time]]&lt;60, "Critical", IF(Table1[[#This Row],[time]]&lt;120,"Under Obs","Normal"))</f>
        <v>Critical</v>
      </c>
    </row>
    <row r="218" spans="1:14" x14ac:dyDescent="0.3">
      <c r="A218" s="2">
        <v>68</v>
      </c>
      <c r="B218">
        <v>1</v>
      </c>
      <c r="C218" s="2">
        <v>577</v>
      </c>
      <c r="D218">
        <v>0</v>
      </c>
      <c r="E218" s="2">
        <v>25</v>
      </c>
      <c r="F218">
        <v>1</v>
      </c>
      <c r="G218" s="2">
        <v>166000</v>
      </c>
      <c r="H218" s="1">
        <v>1</v>
      </c>
      <c r="I218" s="2">
        <v>138</v>
      </c>
      <c r="J218">
        <v>1</v>
      </c>
      <c r="K218">
        <v>0</v>
      </c>
      <c r="L218" s="2">
        <v>43</v>
      </c>
      <c r="M218">
        <v>1</v>
      </c>
      <c r="N218" t="str">
        <f>IF(Table1[[#This Row],[time]]&lt;60, "Critical", IF(Table1[[#This Row],[time]]&lt;120,"Under Obs","Normal"))</f>
        <v>Critical</v>
      </c>
    </row>
    <row r="219" spans="1:14" x14ac:dyDescent="0.3">
      <c r="A219" s="2">
        <v>68</v>
      </c>
      <c r="B219">
        <v>1</v>
      </c>
      <c r="C219" s="2">
        <v>646</v>
      </c>
      <c r="D219">
        <v>0</v>
      </c>
      <c r="E219" s="2">
        <v>25</v>
      </c>
      <c r="F219">
        <v>0</v>
      </c>
      <c r="G219" s="2">
        <v>305000</v>
      </c>
      <c r="H219" s="1">
        <v>2.1</v>
      </c>
      <c r="I219" s="2">
        <v>130</v>
      </c>
      <c r="J219">
        <v>1</v>
      </c>
      <c r="K219">
        <v>0</v>
      </c>
      <c r="L219" s="2">
        <v>108</v>
      </c>
      <c r="M219">
        <v>0</v>
      </c>
      <c r="N219" t="str">
        <f>IF(Table1[[#This Row],[time]]&lt;60, "Critical", IF(Table1[[#This Row],[time]]&lt;120,"Under Obs","Normal"))</f>
        <v>Under Obs</v>
      </c>
    </row>
    <row r="220" spans="1:14" x14ac:dyDescent="0.3">
      <c r="A220" s="2">
        <v>68</v>
      </c>
      <c r="B220">
        <v>1</v>
      </c>
      <c r="C220" s="2">
        <v>1021</v>
      </c>
      <c r="D220">
        <v>1</v>
      </c>
      <c r="E220" s="2">
        <v>35</v>
      </c>
      <c r="F220">
        <v>0</v>
      </c>
      <c r="G220" s="2">
        <v>271000</v>
      </c>
      <c r="H220" s="1">
        <v>1.1000000000000001</v>
      </c>
      <c r="I220" s="2">
        <v>134</v>
      </c>
      <c r="J220">
        <v>1</v>
      </c>
      <c r="K220">
        <v>0</v>
      </c>
      <c r="L220" s="2">
        <v>197</v>
      </c>
      <c r="M220">
        <v>0</v>
      </c>
      <c r="N220" t="str">
        <f>IF(Table1[[#This Row],[time]]&lt;60, "Critical", IF(Table1[[#This Row],[time]]&lt;120,"Under Obs","Normal"))</f>
        <v>Normal</v>
      </c>
    </row>
    <row r="221" spans="1:14" x14ac:dyDescent="0.3">
      <c r="A221" s="2">
        <v>68</v>
      </c>
      <c r="B221">
        <v>1</v>
      </c>
      <c r="C221" s="2">
        <v>157</v>
      </c>
      <c r="D221">
        <v>1</v>
      </c>
      <c r="E221" s="2">
        <v>60</v>
      </c>
      <c r="F221">
        <v>0</v>
      </c>
      <c r="G221" s="2">
        <v>208000</v>
      </c>
      <c r="H221" s="1">
        <v>1</v>
      </c>
      <c r="I221" s="2">
        <v>140</v>
      </c>
      <c r="J221">
        <v>0</v>
      </c>
      <c r="K221">
        <v>0</v>
      </c>
      <c r="L221" s="2">
        <v>237</v>
      </c>
      <c r="M221">
        <v>0</v>
      </c>
      <c r="N221" t="str">
        <f>IF(Table1[[#This Row],[time]]&lt;60, "Critical", IF(Table1[[#This Row],[time]]&lt;120,"Under Obs","Normal"))</f>
        <v>Normal</v>
      </c>
    </row>
    <row r="222" spans="1:14" x14ac:dyDescent="0.3">
      <c r="A222" s="2">
        <v>69</v>
      </c>
      <c r="B222">
        <v>0</v>
      </c>
      <c r="C222" s="2">
        <v>582</v>
      </c>
      <c r="D222">
        <v>1</v>
      </c>
      <c r="E222" s="2">
        <v>35</v>
      </c>
      <c r="F222">
        <v>0</v>
      </c>
      <c r="G222" s="2">
        <v>228000</v>
      </c>
      <c r="H222" s="1">
        <v>3.5</v>
      </c>
      <c r="I222" s="2">
        <v>134</v>
      </c>
      <c r="J222">
        <v>1</v>
      </c>
      <c r="K222">
        <v>0</v>
      </c>
      <c r="L222" s="2">
        <v>30</v>
      </c>
      <c r="M222">
        <v>1</v>
      </c>
      <c r="N222" t="str">
        <f>IF(Table1[[#This Row],[time]]&lt;60, "Critical", IF(Table1[[#This Row],[time]]&lt;120,"Under Obs","Normal"))</f>
        <v>Critical</v>
      </c>
    </row>
    <row r="223" spans="1:14" x14ac:dyDescent="0.3">
      <c r="A223" s="2">
        <v>69</v>
      </c>
      <c r="B223">
        <v>0</v>
      </c>
      <c r="C223" s="2">
        <v>582</v>
      </c>
      <c r="D223">
        <v>0</v>
      </c>
      <c r="E223" s="2">
        <v>20</v>
      </c>
      <c r="F223">
        <v>0</v>
      </c>
      <c r="G223" s="2">
        <v>266000</v>
      </c>
      <c r="H223" s="1">
        <v>1.2</v>
      </c>
      <c r="I223" s="2">
        <v>134</v>
      </c>
      <c r="J223">
        <v>1</v>
      </c>
      <c r="K223">
        <v>1</v>
      </c>
      <c r="L223" s="2">
        <v>73</v>
      </c>
      <c r="M223">
        <v>1</v>
      </c>
      <c r="N223" t="str">
        <f>IF(Table1[[#This Row],[time]]&lt;60, "Critical", IF(Table1[[#This Row],[time]]&lt;120,"Under Obs","Normal"))</f>
        <v>Under Obs</v>
      </c>
    </row>
    <row r="224" spans="1:14" x14ac:dyDescent="0.3">
      <c r="A224" s="2">
        <v>69</v>
      </c>
      <c r="B224">
        <v>0</v>
      </c>
      <c r="C224" s="2">
        <v>1419</v>
      </c>
      <c r="D224">
        <v>0</v>
      </c>
      <c r="E224" s="2">
        <v>40</v>
      </c>
      <c r="F224">
        <v>0</v>
      </c>
      <c r="G224" s="2">
        <v>105000</v>
      </c>
      <c r="H224" s="1">
        <v>1</v>
      </c>
      <c r="I224" s="2">
        <v>135</v>
      </c>
      <c r="J224">
        <v>1</v>
      </c>
      <c r="K224">
        <v>1</v>
      </c>
      <c r="L224" s="2">
        <v>147</v>
      </c>
      <c r="M224">
        <v>0</v>
      </c>
      <c r="N224" t="str">
        <f>IF(Table1[[#This Row],[time]]&lt;60, "Critical", IF(Table1[[#This Row],[time]]&lt;120,"Under Obs","Normal"))</f>
        <v>Normal</v>
      </c>
    </row>
    <row r="225" spans="1:14" x14ac:dyDescent="0.3">
      <c r="A225" s="2">
        <v>70</v>
      </c>
      <c r="B225">
        <v>1</v>
      </c>
      <c r="C225" s="2">
        <v>125</v>
      </c>
      <c r="D225">
        <v>0</v>
      </c>
      <c r="E225" s="2">
        <v>25</v>
      </c>
      <c r="F225">
        <v>1</v>
      </c>
      <c r="G225" s="2">
        <v>237000</v>
      </c>
      <c r="H225" s="1">
        <v>1</v>
      </c>
      <c r="I225" s="2">
        <v>140</v>
      </c>
      <c r="J225">
        <v>0</v>
      </c>
      <c r="K225">
        <v>0</v>
      </c>
      <c r="L225" s="2">
        <v>15</v>
      </c>
      <c r="M225">
        <v>1</v>
      </c>
      <c r="N225" t="str">
        <f>IF(Table1[[#This Row],[time]]&lt;60, "Critical", IF(Table1[[#This Row],[time]]&lt;120,"Under Obs","Normal"))</f>
        <v>Critical</v>
      </c>
    </row>
    <row r="226" spans="1:14" x14ac:dyDescent="0.3">
      <c r="A226" s="2">
        <v>70</v>
      </c>
      <c r="B226">
        <v>0</v>
      </c>
      <c r="C226" s="2">
        <v>122</v>
      </c>
      <c r="D226">
        <v>1</v>
      </c>
      <c r="E226" s="2">
        <v>45</v>
      </c>
      <c r="F226">
        <v>1</v>
      </c>
      <c r="G226" s="2">
        <v>284000</v>
      </c>
      <c r="H226" s="1">
        <v>1.3</v>
      </c>
      <c r="I226" s="2">
        <v>136</v>
      </c>
      <c r="J226">
        <v>1</v>
      </c>
      <c r="K226">
        <v>1</v>
      </c>
      <c r="L226" s="2">
        <v>26</v>
      </c>
      <c r="M226">
        <v>1</v>
      </c>
      <c r="N226" t="str">
        <f>IF(Table1[[#This Row],[time]]&lt;60, "Critical", IF(Table1[[#This Row],[time]]&lt;120,"Under Obs","Normal"))</f>
        <v>Critical</v>
      </c>
    </row>
    <row r="227" spans="1:14" x14ac:dyDescent="0.3">
      <c r="A227" s="2">
        <v>70</v>
      </c>
      <c r="B227">
        <v>0</v>
      </c>
      <c r="C227" s="2">
        <v>582</v>
      </c>
      <c r="D227">
        <v>0</v>
      </c>
      <c r="E227" s="2">
        <v>20</v>
      </c>
      <c r="F227">
        <v>1</v>
      </c>
      <c r="G227" s="2">
        <v>263358.03000000003</v>
      </c>
      <c r="H227" s="1">
        <v>1.83</v>
      </c>
      <c r="I227" s="2">
        <v>134</v>
      </c>
      <c r="J227">
        <v>1</v>
      </c>
      <c r="K227">
        <v>1</v>
      </c>
      <c r="L227" s="2">
        <v>31</v>
      </c>
      <c r="M227">
        <v>1</v>
      </c>
      <c r="N227" t="str">
        <f>IF(Table1[[#This Row],[time]]&lt;60, "Critical", IF(Table1[[#This Row],[time]]&lt;120,"Under Obs","Normal"))</f>
        <v>Critical</v>
      </c>
    </row>
    <row r="228" spans="1:14" x14ac:dyDescent="0.3">
      <c r="A228" s="2">
        <v>70</v>
      </c>
      <c r="B228">
        <v>0</v>
      </c>
      <c r="C228" s="2">
        <v>571</v>
      </c>
      <c r="D228">
        <v>1</v>
      </c>
      <c r="E228" s="2">
        <v>45</v>
      </c>
      <c r="F228">
        <v>1</v>
      </c>
      <c r="G228" s="2">
        <v>185000</v>
      </c>
      <c r="H228" s="1">
        <v>1.2</v>
      </c>
      <c r="I228" s="2">
        <v>139</v>
      </c>
      <c r="J228">
        <v>1</v>
      </c>
      <c r="K228">
        <v>1</v>
      </c>
      <c r="L228" s="2">
        <v>33</v>
      </c>
      <c r="M228">
        <v>1</v>
      </c>
      <c r="N228" t="str">
        <f>IF(Table1[[#This Row],[time]]&lt;60, "Critical", IF(Table1[[#This Row],[time]]&lt;120,"Under Obs","Normal"))</f>
        <v>Critical</v>
      </c>
    </row>
    <row r="229" spans="1:14" x14ac:dyDescent="0.3">
      <c r="A229" s="2">
        <v>70</v>
      </c>
      <c r="B229">
        <v>1</v>
      </c>
      <c r="C229" s="2">
        <v>69</v>
      </c>
      <c r="D229">
        <v>1</v>
      </c>
      <c r="E229" s="2">
        <v>50</v>
      </c>
      <c r="F229">
        <v>1</v>
      </c>
      <c r="G229" s="2">
        <v>351000</v>
      </c>
      <c r="H229" s="1">
        <v>1</v>
      </c>
      <c r="I229" s="2">
        <v>134</v>
      </c>
      <c r="J229">
        <v>0</v>
      </c>
      <c r="K229">
        <v>0</v>
      </c>
      <c r="L229" s="2">
        <v>44</v>
      </c>
      <c r="M229">
        <v>1</v>
      </c>
      <c r="N229" t="str">
        <f>IF(Table1[[#This Row],[time]]&lt;60, "Critical", IF(Table1[[#This Row],[time]]&lt;120,"Under Obs","Normal"))</f>
        <v>Critical</v>
      </c>
    </row>
    <row r="230" spans="1:14" x14ac:dyDescent="0.3">
      <c r="A230" s="2">
        <v>70</v>
      </c>
      <c r="B230">
        <v>1</v>
      </c>
      <c r="C230" s="2">
        <v>75</v>
      </c>
      <c r="D230">
        <v>0</v>
      </c>
      <c r="E230" s="2">
        <v>35</v>
      </c>
      <c r="F230">
        <v>0</v>
      </c>
      <c r="G230" s="2">
        <v>223000</v>
      </c>
      <c r="H230" s="1">
        <v>2.7</v>
      </c>
      <c r="I230" s="2">
        <v>138</v>
      </c>
      <c r="J230">
        <v>1</v>
      </c>
      <c r="K230">
        <v>1</v>
      </c>
      <c r="L230" s="2">
        <v>54</v>
      </c>
      <c r="M230">
        <v>0</v>
      </c>
      <c r="N230" t="str">
        <f>IF(Table1[[#This Row],[time]]&lt;60, "Critical", IF(Table1[[#This Row],[time]]&lt;120,"Under Obs","Normal"))</f>
        <v>Critical</v>
      </c>
    </row>
    <row r="231" spans="1:14" x14ac:dyDescent="0.3">
      <c r="A231" s="2">
        <v>70</v>
      </c>
      <c r="B231">
        <v>0</v>
      </c>
      <c r="C231" s="2">
        <v>161</v>
      </c>
      <c r="D231">
        <v>0</v>
      </c>
      <c r="E231" s="2">
        <v>25</v>
      </c>
      <c r="F231">
        <v>0</v>
      </c>
      <c r="G231" s="2">
        <v>244000</v>
      </c>
      <c r="H231" s="1">
        <v>1.2</v>
      </c>
      <c r="I231" s="2">
        <v>142</v>
      </c>
      <c r="J231">
        <v>0</v>
      </c>
      <c r="K231">
        <v>0</v>
      </c>
      <c r="L231" s="2">
        <v>66</v>
      </c>
      <c r="M231">
        <v>1</v>
      </c>
      <c r="N231" t="str">
        <f>IF(Table1[[#This Row],[time]]&lt;60, "Critical", IF(Table1[[#This Row],[time]]&lt;120,"Under Obs","Normal"))</f>
        <v>Under Obs</v>
      </c>
    </row>
    <row r="232" spans="1:14" x14ac:dyDescent="0.3">
      <c r="A232" s="2">
        <v>70</v>
      </c>
      <c r="B232">
        <v>0</v>
      </c>
      <c r="C232" s="2">
        <v>92</v>
      </c>
      <c r="D232">
        <v>0</v>
      </c>
      <c r="E232" s="2">
        <v>60</v>
      </c>
      <c r="F232">
        <v>1</v>
      </c>
      <c r="G232" s="2">
        <v>317000</v>
      </c>
      <c r="H232" s="1">
        <v>0.8</v>
      </c>
      <c r="I232" s="2">
        <v>140</v>
      </c>
      <c r="J232">
        <v>0</v>
      </c>
      <c r="K232">
        <v>1</v>
      </c>
      <c r="L232" s="2">
        <v>74</v>
      </c>
      <c r="M232">
        <v>0</v>
      </c>
      <c r="N232" t="str">
        <f>IF(Table1[[#This Row],[time]]&lt;60, "Critical", IF(Table1[[#This Row],[time]]&lt;120,"Under Obs","Normal"))</f>
        <v>Under Obs</v>
      </c>
    </row>
    <row r="233" spans="1:14" x14ac:dyDescent="0.3">
      <c r="A233" s="2">
        <v>70</v>
      </c>
      <c r="B233">
        <v>0</v>
      </c>
      <c r="C233" s="2">
        <v>69</v>
      </c>
      <c r="D233">
        <v>0</v>
      </c>
      <c r="E233" s="2">
        <v>40</v>
      </c>
      <c r="F233">
        <v>0</v>
      </c>
      <c r="G233" s="2">
        <v>293000</v>
      </c>
      <c r="H233" s="1">
        <v>1.7</v>
      </c>
      <c r="I233" s="2">
        <v>136</v>
      </c>
      <c r="J233">
        <v>0</v>
      </c>
      <c r="K233">
        <v>0</v>
      </c>
      <c r="L233" s="2">
        <v>75</v>
      </c>
      <c r="M233">
        <v>0</v>
      </c>
      <c r="N233" t="str">
        <f>IF(Table1[[#This Row],[time]]&lt;60, "Critical", IF(Table1[[#This Row],[time]]&lt;120,"Under Obs","Normal"))</f>
        <v>Under Obs</v>
      </c>
    </row>
    <row r="234" spans="1:14" x14ac:dyDescent="0.3">
      <c r="A234" s="2">
        <v>70</v>
      </c>
      <c r="B234">
        <v>0</v>
      </c>
      <c r="C234" s="2">
        <v>66</v>
      </c>
      <c r="D234">
        <v>1</v>
      </c>
      <c r="E234" s="2">
        <v>45</v>
      </c>
      <c r="F234">
        <v>0</v>
      </c>
      <c r="G234" s="2">
        <v>249000</v>
      </c>
      <c r="H234" s="1">
        <v>0.8</v>
      </c>
      <c r="I234" s="2">
        <v>136</v>
      </c>
      <c r="J234">
        <v>1</v>
      </c>
      <c r="K234">
        <v>1</v>
      </c>
      <c r="L234" s="2">
        <v>80</v>
      </c>
      <c r="M234">
        <v>0</v>
      </c>
      <c r="N234" t="str">
        <f>IF(Table1[[#This Row],[time]]&lt;60, "Critical", IF(Table1[[#This Row],[time]]&lt;120,"Under Obs","Normal"))</f>
        <v>Under Obs</v>
      </c>
    </row>
    <row r="235" spans="1:14" x14ac:dyDescent="0.3">
      <c r="A235" s="2">
        <v>70</v>
      </c>
      <c r="B235">
        <v>1</v>
      </c>
      <c r="C235" s="2">
        <v>59</v>
      </c>
      <c r="D235">
        <v>0</v>
      </c>
      <c r="E235" s="2">
        <v>60</v>
      </c>
      <c r="F235">
        <v>0</v>
      </c>
      <c r="G235" s="2">
        <v>255000</v>
      </c>
      <c r="H235" s="1">
        <v>1.1000000000000001</v>
      </c>
      <c r="I235" s="2">
        <v>136</v>
      </c>
      <c r="J235">
        <v>0</v>
      </c>
      <c r="K235">
        <v>0</v>
      </c>
      <c r="L235" s="2">
        <v>85</v>
      </c>
      <c r="M235">
        <v>0</v>
      </c>
      <c r="N235" t="str">
        <f>IF(Table1[[#This Row],[time]]&lt;60, "Critical", IF(Table1[[#This Row],[time]]&lt;120,"Under Obs","Normal"))</f>
        <v>Under Obs</v>
      </c>
    </row>
    <row r="236" spans="1:14" x14ac:dyDescent="0.3">
      <c r="A236" s="2">
        <v>70</v>
      </c>
      <c r="B236">
        <v>1</v>
      </c>
      <c r="C236" s="2">
        <v>143</v>
      </c>
      <c r="D236">
        <v>0</v>
      </c>
      <c r="E236" s="2">
        <v>60</v>
      </c>
      <c r="F236">
        <v>0</v>
      </c>
      <c r="G236" s="2">
        <v>351000</v>
      </c>
      <c r="H236" s="1">
        <v>1.3</v>
      </c>
      <c r="I236" s="2">
        <v>137</v>
      </c>
      <c r="J236">
        <v>0</v>
      </c>
      <c r="K236">
        <v>0</v>
      </c>
      <c r="L236" s="2">
        <v>90</v>
      </c>
      <c r="M236">
        <v>1</v>
      </c>
      <c r="N236" t="str">
        <f>IF(Table1[[#This Row],[time]]&lt;60, "Critical", IF(Table1[[#This Row],[time]]&lt;120,"Under Obs","Normal"))</f>
        <v>Under Obs</v>
      </c>
    </row>
    <row r="237" spans="1:14" x14ac:dyDescent="0.3">
      <c r="A237" s="2">
        <v>70</v>
      </c>
      <c r="B237">
        <v>0</v>
      </c>
      <c r="C237" s="2">
        <v>835</v>
      </c>
      <c r="D237">
        <v>0</v>
      </c>
      <c r="E237" s="2">
        <v>35</v>
      </c>
      <c r="F237">
        <v>1</v>
      </c>
      <c r="G237" s="2">
        <v>305000</v>
      </c>
      <c r="H237" s="1">
        <v>0.8</v>
      </c>
      <c r="I237" s="2">
        <v>133</v>
      </c>
      <c r="J237">
        <v>0</v>
      </c>
      <c r="K237">
        <v>0</v>
      </c>
      <c r="L237" s="2">
        <v>145</v>
      </c>
      <c r="M237">
        <v>0</v>
      </c>
      <c r="N237" t="str">
        <f>IF(Table1[[#This Row],[time]]&lt;60, "Critical", IF(Table1[[#This Row],[time]]&lt;120,"Under Obs","Normal"))</f>
        <v>Normal</v>
      </c>
    </row>
    <row r="238" spans="1:14" x14ac:dyDescent="0.3">
      <c r="A238" s="2">
        <v>70</v>
      </c>
      <c r="B238">
        <v>1</v>
      </c>
      <c r="C238" s="2">
        <v>171</v>
      </c>
      <c r="D238">
        <v>0</v>
      </c>
      <c r="E238" s="2">
        <v>60</v>
      </c>
      <c r="F238">
        <v>1</v>
      </c>
      <c r="G238" s="2">
        <v>176000</v>
      </c>
      <c r="H238" s="1">
        <v>1.1000000000000001</v>
      </c>
      <c r="I238" s="2">
        <v>145</v>
      </c>
      <c r="J238">
        <v>1</v>
      </c>
      <c r="K238">
        <v>1</v>
      </c>
      <c r="L238" s="2">
        <v>146</v>
      </c>
      <c r="M238">
        <v>0</v>
      </c>
      <c r="N238" t="str">
        <f>IF(Table1[[#This Row],[time]]&lt;60, "Critical", IF(Table1[[#This Row],[time]]&lt;120,"Under Obs","Normal"))</f>
        <v>Normal</v>
      </c>
    </row>
    <row r="239" spans="1:14" x14ac:dyDescent="0.3">
      <c r="A239" s="2">
        <v>70</v>
      </c>
      <c r="B239">
        <v>0</v>
      </c>
      <c r="C239" s="2">
        <v>97</v>
      </c>
      <c r="D239">
        <v>0</v>
      </c>
      <c r="E239" s="2">
        <v>60</v>
      </c>
      <c r="F239">
        <v>1</v>
      </c>
      <c r="G239" s="2">
        <v>220000</v>
      </c>
      <c r="H239" s="1">
        <v>0.9</v>
      </c>
      <c r="I239" s="2">
        <v>138</v>
      </c>
      <c r="J239">
        <v>1</v>
      </c>
      <c r="K239">
        <v>0</v>
      </c>
      <c r="L239" s="2">
        <v>186</v>
      </c>
      <c r="M239">
        <v>0</v>
      </c>
      <c r="N239" t="str">
        <f>IF(Table1[[#This Row],[time]]&lt;60, "Critical", IF(Table1[[#This Row],[time]]&lt;120,"Under Obs","Normal"))</f>
        <v>Normal</v>
      </c>
    </row>
    <row r="240" spans="1:14" x14ac:dyDescent="0.3">
      <c r="A240" s="2">
        <v>70</v>
      </c>
      <c r="B240">
        <v>0</v>
      </c>
      <c r="C240" s="2">
        <v>212</v>
      </c>
      <c r="D240">
        <v>1</v>
      </c>
      <c r="E240" s="2">
        <v>17</v>
      </c>
      <c r="F240">
        <v>1</v>
      </c>
      <c r="G240" s="2">
        <v>389000</v>
      </c>
      <c r="H240" s="1">
        <v>1</v>
      </c>
      <c r="I240" s="2">
        <v>136</v>
      </c>
      <c r="J240">
        <v>1</v>
      </c>
      <c r="K240">
        <v>1</v>
      </c>
      <c r="L240" s="2">
        <v>188</v>
      </c>
      <c r="M240">
        <v>0</v>
      </c>
      <c r="N240" t="str">
        <f>IF(Table1[[#This Row],[time]]&lt;60, "Critical", IF(Table1[[#This Row],[time]]&lt;120,"Under Obs","Normal"))</f>
        <v>Normal</v>
      </c>
    </row>
    <row r="241" spans="1:14" x14ac:dyDescent="0.3">
      <c r="A241" s="2">
        <v>70</v>
      </c>
      <c r="B241">
        <v>0</v>
      </c>
      <c r="C241" s="2">
        <v>1202</v>
      </c>
      <c r="D241">
        <v>0</v>
      </c>
      <c r="E241" s="2">
        <v>50</v>
      </c>
      <c r="F241">
        <v>1</v>
      </c>
      <c r="G241" s="2">
        <v>358000</v>
      </c>
      <c r="H241" s="1">
        <v>0.9</v>
      </c>
      <c r="I241" s="2">
        <v>141</v>
      </c>
      <c r="J241">
        <v>0</v>
      </c>
      <c r="K241">
        <v>0</v>
      </c>
      <c r="L241" s="2">
        <v>196</v>
      </c>
      <c r="M241">
        <v>0</v>
      </c>
      <c r="N241" t="str">
        <f>IF(Table1[[#This Row],[time]]&lt;60, "Critical", IF(Table1[[#This Row],[time]]&lt;120,"Under Obs","Normal"))</f>
        <v>Normal</v>
      </c>
    </row>
    <row r="242" spans="1:14" x14ac:dyDescent="0.3">
      <c r="A242" s="2">
        <v>70</v>
      </c>
      <c r="B242">
        <v>0</v>
      </c>
      <c r="C242" s="2">
        <v>93</v>
      </c>
      <c r="D242">
        <v>0</v>
      </c>
      <c r="E242" s="2">
        <v>35</v>
      </c>
      <c r="F242">
        <v>0</v>
      </c>
      <c r="G242" s="2">
        <v>185000</v>
      </c>
      <c r="H242" s="1">
        <v>1.1000000000000001</v>
      </c>
      <c r="I242" s="2">
        <v>134</v>
      </c>
      <c r="J242">
        <v>1</v>
      </c>
      <c r="K242">
        <v>1</v>
      </c>
      <c r="L242" s="2">
        <v>208</v>
      </c>
      <c r="M242">
        <v>0</v>
      </c>
      <c r="N242" t="str">
        <f>IF(Table1[[#This Row],[time]]&lt;60, "Critical", IF(Table1[[#This Row],[time]]&lt;120,"Under Obs","Normal"))</f>
        <v>Normal</v>
      </c>
    </row>
    <row r="243" spans="1:14" x14ac:dyDescent="0.3">
      <c r="A243" s="2">
        <v>70</v>
      </c>
      <c r="B243">
        <v>0</v>
      </c>
      <c r="C243" s="2">
        <v>232</v>
      </c>
      <c r="D243">
        <v>0</v>
      </c>
      <c r="E243" s="2">
        <v>30</v>
      </c>
      <c r="F243">
        <v>0</v>
      </c>
      <c r="G243" s="2">
        <v>173000</v>
      </c>
      <c r="H243" s="1">
        <v>1.2</v>
      </c>
      <c r="I243" s="2">
        <v>132</v>
      </c>
      <c r="J243">
        <v>1</v>
      </c>
      <c r="K243">
        <v>0</v>
      </c>
      <c r="L243" s="2">
        <v>210</v>
      </c>
      <c r="M243">
        <v>0</v>
      </c>
      <c r="N243" t="str">
        <f>IF(Table1[[#This Row],[time]]&lt;60, "Critical", IF(Table1[[#This Row],[time]]&lt;120,"Under Obs","Normal"))</f>
        <v>Normal</v>
      </c>
    </row>
    <row r="244" spans="1:14" x14ac:dyDescent="0.3">
      <c r="A244" s="2">
        <v>70</v>
      </c>
      <c r="B244">
        <v>0</v>
      </c>
      <c r="C244" s="2">
        <v>81</v>
      </c>
      <c r="D244">
        <v>1</v>
      </c>
      <c r="E244" s="2">
        <v>35</v>
      </c>
      <c r="F244">
        <v>1</v>
      </c>
      <c r="G244" s="2">
        <v>533000</v>
      </c>
      <c r="H244" s="1">
        <v>1.3</v>
      </c>
      <c r="I244" s="2">
        <v>139</v>
      </c>
      <c r="J244">
        <v>0</v>
      </c>
      <c r="K244">
        <v>0</v>
      </c>
      <c r="L244" s="2">
        <v>212</v>
      </c>
      <c r="M244">
        <v>0</v>
      </c>
      <c r="N244" t="str">
        <f>IF(Table1[[#This Row],[time]]&lt;60, "Critical", IF(Table1[[#This Row],[time]]&lt;120,"Under Obs","Normal"))</f>
        <v>Normal</v>
      </c>
    </row>
    <row r="245" spans="1:14" x14ac:dyDescent="0.3">
      <c r="A245" s="2">
        <v>70</v>
      </c>
      <c r="B245">
        <v>0</v>
      </c>
      <c r="C245" s="2">
        <v>88</v>
      </c>
      <c r="D245">
        <v>1</v>
      </c>
      <c r="E245" s="2">
        <v>35</v>
      </c>
      <c r="F245">
        <v>1</v>
      </c>
      <c r="G245" s="2">
        <v>236000</v>
      </c>
      <c r="H245" s="1">
        <v>1.2</v>
      </c>
      <c r="I245" s="2">
        <v>132</v>
      </c>
      <c r="J245">
        <v>0</v>
      </c>
      <c r="K245">
        <v>0</v>
      </c>
      <c r="L245" s="2">
        <v>215</v>
      </c>
      <c r="M245">
        <v>0</v>
      </c>
      <c r="N245" t="str">
        <f>IF(Table1[[#This Row],[time]]&lt;60, "Critical", IF(Table1[[#This Row],[time]]&lt;120,"Under Obs","Normal"))</f>
        <v>Normal</v>
      </c>
    </row>
    <row r="246" spans="1:14" x14ac:dyDescent="0.3">
      <c r="A246" s="2">
        <v>70</v>
      </c>
      <c r="B246">
        <v>0</v>
      </c>
      <c r="C246" s="2">
        <v>618</v>
      </c>
      <c r="D246">
        <v>0</v>
      </c>
      <c r="E246" s="2">
        <v>35</v>
      </c>
      <c r="F246">
        <v>0</v>
      </c>
      <c r="G246" s="2">
        <v>327000</v>
      </c>
      <c r="H246" s="1">
        <v>1.1000000000000001</v>
      </c>
      <c r="I246" s="2">
        <v>142</v>
      </c>
      <c r="J246">
        <v>0</v>
      </c>
      <c r="K246">
        <v>0</v>
      </c>
      <c r="L246" s="2">
        <v>245</v>
      </c>
      <c r="M246">
        <v>0</v>
      </c>
      <c r="N246" t="str">
        <f>IF(Table1[[#This Row],[time]]&lt;60, "Critical", IF(Table1[[#This Row],[time]]&lt;120,"Under Obs","Normal"))</f>
        <v>Normal</v>
      </c>
    </row>
    <row r="247" spans="1:14" x14ac:dyDescent="0.3">
      <c r="A247" s="2">
        <v>70</v>
      </c>
      <c r="B247">
        <v>0</v>
      </c>
      <c r="C247" s="2">
        <v>582</v>
      </c>
      <c r="D247">
        <v>1</v>
      </c>
      <c r="E247" s="2">
        <v>38</v>
      </c>
      <c r="F247">
        <v>0</v>
      </c>
      <c r="G247" s="2">
        <v>25100</v>
      </c>
      <c r="H247" s="1">
        <v>1.1000000000000001</v>
      </c>
      <c r="I247" s="2">
        <v>140</v>
      </c>
      <c r="J247">
        <v>1</v>
      </c>
      <c r="K247">
        <v>0</v>
      </c>
      <c r="L247" s="2">
        <v>246</v>
      </c>
      <c r="M247">
        <v>0</v>
      </c>
      <c r="N247" t="str">
        <f>IF(Table1[[#This Row],[time]]&lt;60, "Critical", IF(Table1[[#This Row],[time]]&lt;120,"Under Obs","Normal"))</f>
        <v>Normal</v>
      </c>
    </row>
    <row r="248" spans="1:14" x14ac:dyDescent="0.3">
      <c r="A248" s="2">
        <v>70</v>
      </c>
      <c r="B248">
        <v>0</v>
      </c>
      <c r="C248" s="2">
        <v>2695</v>
      </c>
      <c r="D248">
        <v>1</v>
      </c>
      <c r="E248" s="2">
        <v>40</v>
      </c>
      <c r="F248">
        <v>0</v>
      </c>
      <c r="G248" s="2">
        <v>241000</v>
      </c>
      <c r="H248" s="1">
        <v>1</v>
      </c>
      <c r="I248" s="2">
        <v>137</v>
      </c>
      <c r="J248">
        <v>1</v>
      </c>
      <c r="K248">
        <v>0</v>
      </c>
      <c r="L248" s="2">
        <v>247</v>
      </c>
      <c r="M248">
        <v>0</v>
      </c>
      <c r="N248" t="str">
        <f>IF(Table1[[#This Row],[time]]&lt;60, "Critical", IF(Table1[[#This Row],[time]]&lt;120,"Under Obs","Normal"))</f>
        <v>Normal</v>
      </c>
    </row>
    <row r="249" spans="1:14" x14ac:dyDescent="0.3">
      <c r="A249" s="2">
        <v>70</v>
      </c>
      <c r="B249">
        <v>0</v>
      </c>
      <c r="C249" s="2">
        <v>582</v>
      </c>
      <c r="D249">
        <v>0</v>
      </c>
      <c r="E249" s="2">
        <v>40</v>
      </c>
      <c r="F249">
        <v>0</v>
      </c>
      <c r="G249" s="2">
        <v>51000</v>
      </c>
      <c r="H249" s="1">
        <v>2.7</v>
      </c>
      <c r="I249" s="2">
        <v>136</v>
      </c>
      <c r="J249">
        <v>1</v>
      </c>
      <c r="K249">
        <v>1</v>
      </c>
      <c r="L249" s="2">
        <v>250</v>
      </c>
      <c r="M249">
        <v>0</v>
      </c>
      <c r="N249" t="str">
        <f>IF(Table1[[#This Row],[time]]&lt;60, "Critical", IF(Table1[[#This Row],[time]]&lt;120,"Under Obs","Normal"))</f>
        <v>Normal</v>
      </c>
    </row>
    <row r="250" spans="1:14" x14ac:dyDescent="0.3">
      <c r="A250" s="2">
        <v>72</v>
      </c>
      <c r="B250">
        <v>0</v>
      </c>
      <c r="C250" s="2">
        <v>127</v>
      </c>
      <c r="D250">
        <v>1</v>
      </c>
      <c r="E250" s="2">
        <v>50</v>
      </c>
      <c r="F250">
        <v>1</v>
      </c>
      <c r="G250" s="2">
        <v>218000</v>
      </c>
      <c r="H250" s="1">
        <v>1</v>
      </c>
      <c r="I250" s="2">
        <v>134</v>
      </c>
      <c r="J250">
        <v>1</v>
      </c>
      <c r="K250">
        <v>0</v>
      </c>
      <c r="L250" s="2">
        <v>33</v>
      </c>
      <c r="M250">
        <v>0</v>
      </c>
      <c r="N250" t="str">
        <f>IF(Table1[[#This Row],[time]]&lt;60, "Critical", IF(Table1[[#This Row],[time]]&lt;120,"Under Obs","Normal"))</f>
        <v>Critical</v>
      </c>
    </row>
    <row r="251" spans="1:14" x14ac:dyDescent="0.3">
      <c r="A251" s="2">
        <v>72</v>
      </c>
      <c r="B251">
        <v>0</v>
      </c>
      <c r="C251" s="2">
        <v>364</v>
      </c>
      <c r="D251">
        <v>1</v>
      </c>
      <c r="E251" s="2">
        <v>20</v>
      </c>
      <c r="F251">
        <v>1</v>
      </c>
      <c r="G251" s="2">
        <v>254000</v>
      </c>
      <c r="H251" s="1">
        <v>1.3</v>
      </c>
      <c r="I251" s="2">
        <v>136</v>
      </c>
      <c r="J251">
        <v>1</v>
      </c>
      <c r="K251">
        <v>1</v>
      </c>
      <c r="L251" s="2">
        <v>59</v>
      </c>
      <c r="M251">
        <v>1</v>
      </c>
      <c r="N251" t="str">
        <f>IF(Table1[[#This Row],[time]]&lt;60, "Critical", IF(Table1[[#This Row],[time]]&lt;120,"Under Obs","Normal"))</f>
        <v>Critical</v>
      </c>
    </row>
    <row r="252" spans="1:14" x14ac:dyDescent="0.3">
      <c r="A252" s="2">
        <v>72</v>
      </c>
      <c r="B252">
        <v>1</v>
      </c>
      <c r="C252" s="2">
        <v>110</v>
      </c>
      <c r="D252">
        <v>0</v>
      </c>
      <c r="E252" s="2">
        <v>25</v>
      </c>
      <c r="F252">
        <v>0</v>
      </c>
      <c r="G252" s="2">
        <v>274000</v>
      </c>
      <c r="H252" s="1">
        <v>1</v>
      </c>
      <c r="I252" s="2">
        <v>140</v>
      </c>
      <c r="J252">
        <v>1</v>
      </c>
      <c r="K252">
        <v>1</v>
      </c>
      <c r="L252" s="2">
        <v>65</v>
      </c>
      <c r="M252">
        <v>1</v>
      </c>
      <c r="N252" t="str">
        <f>IF(Table1[[#This Row],[time]]&lt;60, "Critical", IF(Table1[[#This Row],[time]]&lt;120,"Under Obs","Normal"))</f>
        <v>Under Obs</v>
      </c>
    </row>
    <row r="253" spans="1:14" x14ac:dyDescent="0.3">
      <c r="A253" s="2">
        <v>72</v>
      </c>
      <c r="B253">
        <v>1</v>
      </c>
      <c r="C253" s="2">
        <v>328</v>
      </c>
      <c r="D253">
        <v>0</v>
      </c>
      <c r="E253" s="2">
        <v>30</v>
      </c>
      <c r="F253">
        <v>1</v>
      </c>
      <c r="G253" s="2">
        <v>621000</v>
      </c>
      <c r="H253" s="1">
        <v>1.7</v>
      </c>
      <c r="I253" s="2">
        <v>138</v>
      </c>
      <c r="J253">
        <v>0</v>
      </c>
      <c r="K253">
        <v>1</v>
      </c>
      <c r="L253" s="2">
        <v>88</v>
      </c>
      <c r="M253">
        <v>1</v>
      </c>
      <c r="N253" t="str">
        <f>IF(Table1[[#This Row],[time]]&lt;60, "Critical", IF(Table1[[#This Row],[time]]&lt;120,"Under Obs","Normal"))</f>
        <v>Under Obs</v>
      </c>
    </row>
    <row r="254" spans="1:14" x14ac:dyDescent="0.3">
      <c r="A254" s="2">
        <v>72</v>
      </c>
      <c r="B254">
        <v>1</v>
      </c>
      <c r="C254" s="2">
        <v>943</v>
      </c>
      <c r="D254">
        <v>0</v>
      </c>
      <c r="E254" s="2">
        <v>25</v>
      </c>
      <c r="F254">
        <v>1</v>
      </c>
      <c r="G254" s="2">
        <v>338000</v>
      </c>
      <c r="H254" s="1">
        <v>1.7</v>
      </c>
      <c r="I254" s="2">
        <v>139</v>
      </c>
      <c r="J254">
        <v>1</v>
      </c>
      <c r="K254">
        <v>1</v>
      </c>
      <c r="L254" s="2">
        <v>111</v>
      </c>
      <c r="M254">
        <v>1</v>
      </c>
      <c r="N254" t="str">
        <f>IF(Table1[[#This Row],[time]]&lt;60, "Critical", IF(Table1[[#This Row],[time]]&lt;120,"Under Obs","Normal"))</f>
        <v>Under Obs</v>
      </c>
    </row>
    <row r="255" spans="1:14" x14ac:dyDescent="0.3">
      <c r="A255" s="2">
        <v>72</v>
      </c>
      <c r="B255">
        <v>0</v>
      </c>
      <c r="C255" s="2">
        <v>233</v>
      </c>
      <c r="D255">
        <v>0</v>
      </c>
      <c r="E255" s="2">
        <v>45</v>
      </c>
      <c r="F255">
        <v>1</v>
      </c>
      <c r="G255" s="2">
        <v>235000</v>
      </c>
      <c r="H255" s="1">
        <v>2.5</v>
      </c>
      <c r="I255" s="2">
        <v>135</v>
      </c>
      <c r="J255">
        <v>0</v>
      </c>
      <c r="K255">
        <v>0</v>
      </c>
      <c r="L255" s="2">
        <v>115</v>
      </c>
      <c r="M255">
        <v>1</v>
      </c>
      <c r="N255" t="str">
        <f>IF(Table1[[#This Row],[time]]&lt;60, "Critical", IF(Table1[[#This Row],[time]]&lt;120,"Under Obs","Normal"))</f>
        <v>Under Obs</v>
      </c>
    </row>
    <row r="256" spans="1:14" x14ac:dyDescent="0.3">
      <c r="A256" s="2">
        <v>72</v>
      </c>
      <c r="B256">
        <v>0</v>
      </c>
      <c r="C256" s="2">
        <v>211</v>
      </c>
      <c r="D256">
        <v>0</v>
      </c>
      <c r="E256" s="2">
        <v>25</v>
      </c>
      <c r="F256">
        <v>0</v>
      </c>
      <c r="G256" s="2">
        <v>274000</v>
      </c>
      <c r="H256" s="1">
        <v>1.2</v>
      </c>
      <c r="I256" s="2">
        <v>134</v>
      </c>
      <c r="J256">
        <v>0</v>
      </c>
      <c r="K256">
        <v>0</v>
      </c>
      <c r="L256" s="2">
        <v>207</v>
      </c>
      <c r="M256">
        <v>0</v>
      </c>
      <c r="N256" t="str">
        <f>IF(Table1[[#This Row],[time]]&lt;60, "Critical", IF(Table1[[#This Row],[time]]&lt;120,"Under Obs","Normal"))</f>
        <v>Normal</v>
      </c>
    </row>
    <row r="257" spans="1:14" x14ac:dyDescent="0.3">
      <c r="A257" s="2">
        <v>73</v>
      </c>
      <c r="B257">
        <v>1</v>
      </c>
      <c r="C257" s="2">
        <v>231</v>
      </c>
      <c r="D257">
        <v>1</v>
      </c>
      <c r="E257" s="2">
        <v>30</v>
      </c>
      <c r="F257">
        <v>0</v>
      </c>
      <c r="G257" s="2">
        <v>160000</v>
      </c>
      <c r="H257" s="1">
        <v>1.18</v>
      </c>
      <c r="I257" s="2">
        <v>142</v>
      </c>
      <c r="J257">
        <v>1</v>
      </c>
      <c r="K257">
        <v>1</v>
      </c>
      <c r="L257" s="2">
        <v>180</v>
      </c>
      <c r="M257">
        <v>0</v>
      </c>
      <c r="N257" t="str">
        <f>IF(Table1[[#This Row],[time]]&lt;60, "Critical", IF(Table1[[#This Row],[time]]&lt;120,"Under Obs","Normal"))</f>
        <v>Normal</v>
      </c>
    </row>
    <row r="258" spans="1:14" x14ac:dyDescent="0.3">
      <c r="A258" s="2">
        <v>73</v>
      </c>
      <c r="B258">
        <v>0</v>
      </c>
      <c r="C258" s="2">
        <v>582</v>
      </c>
      <c r="D258">
        <v>0</v>
      </c>
      <c r="E258" s="2">
        <v>35</v>
      </c>
      <c r="F258">
        <v>1</v>
      </c>
      <c r="G258" s="2">
        <v>203000</v>
      </c>
      <c r="H258" s="1">
        <v>1.3</v>
      </c>
      <c r="I258" s="2">
        <v>134</v>
      </c>
      <c r="J258">
        <v>1</v>
      </c>
      <c r="K258">
        <v>0</v>
      </c>
      <c r="L258" s="2">
        <v>195</v>
      </c>
      <c r="M258">
        <v>0</v>
      </c>
      <c r="N258" t="str">
        <f>IF(Table1[[#This Row],[time]]&lt;60, "Critical", IF(Table1[[#This Row],[time]]&lt;120,"Under Obs","Normal"))</f>
        <v>Normal</v>
      </c>
    </row>
    <row r="259" spans="1:14" x14ac:dyDescent="0.3">
      <c r="A259" s="2">
        <v>73</v>
      </c>
      <c r="B259">
        <v>0</v>
      </c>
      <c r="C259" s="2">
        <v>582</v>
      </c>
      <c r="D259">
        <v>0</v>
      </c>
      <c r="E259" s="2">
        <v>20</v>
      </c>
      <c r="F259">
        <v>0</v>
      </c>
      <c r="G259" s="2">
        <v>263358.03000000003</v>
      </c>
      <c r="H259" s="1">
        <v>1.83</v>
      </c>
      <c r="I259" s="2">
        <v>134</v>
      </c>
      <c r="J259">
        <v>1</v>
      </c>
      <c r="K259">
        <v>0</v>
      </c>
      <c r="L259" s="2">
        <v>198</v>
      </c>
      <c r="M259">
        <v>1</v>
      </c>
      <c r="N259" t="str">
        <f>IF(Table1[[#This Row],[time]]&lt;60, "Critical", IF(Table1[[#This Row],[time]]&lt;120,"Under Obs","Normal"))</f>
        <v>Normal</v>
      </c>
    </row>
    <row r="260" spans="1:14" x14ac:dyDescent="0.3">
      <c r="A260" s="2">
        <v>73</v>
      </c>
      <c r="B260">
        <v>1</v>
      </c>
      <c r="C260" s="2">
        <v>1185</v>
      </c>
      <c r="D260">
        <v>0</v>
      </c>
      <c r="E260" s="2">
        <v>40</v>
      </c>
      <c r="F260">
        <v>1</v>
      </c>
      <c r="G260" s="2">
        <v>220000</v>
      </c>
      <c r="H260" s="1">
        <v>0.9</v>
      </c>
      <c r="I260" s="2">
        <v>141</v>
      </c>
      <c r="J260">
        <v>0</v>
      </c>
      <c r="K260">
        <v>0</v>
      </c>
      <c r="L260" s="2">
        <v>213</v>
      </c>
      <c r="M260">
        <v>0</v>
      </c>
      <c r="N260" t="str">
        <f>IF(Table1[[#This Row],[time]]&lt;60, "Critical", IF(Table1[[#This Row],[time]]&lt;120,"Under Obs","Normal"))</f>
        <v>Normal</v>
      </c>
    </row>
    <row r="261" spans="1:14" x14ac:dyDescent="0.3">
      <c r="A261" s="2">
        <v>75</v>
      </c>
      <c r="B261">
        <v>0</v>
      </c>
      <c r="C261" s="2">
        <v>582</v>
      </c>
      <c r="D261">
        <v>0</v>
      </c>
      <c r="E261" s="2">
        <v>20</v>
      </c>
      <c r="F261">
        <v>1</v>
      </c>
      <c r="G261" s="2">
        <v>265000</v>
      </c>
      <c r="H261" s="1">
        <v>1.9</v>
      </c>
      <c r="I261" s="2">
        <v>130</v>
      </c>
      <c r="J261">
        <v>1</v>
      </c>
      <c r="K261">
        <v>0</v>
      </c>
      <c r="L261" s="2">
        <v>4</v>
      </c>
      <c r="M261">
        <v>1</v>
      </c>
      <c r="N261" t="str">
        <f>IF(Table1[[#This Row],[time]]&lt;60, "Critical", IF(Table1[[#This Row],[time]]&lt;120,"Under Obs","Normal"))</f>
        <v>Critical</v>
      </c>
    </row>
    <row r="262" spans="1:14" x14ac:dyDescent="0.3">
      <c r="A262" s="2">
        <v>75</v>
      </c>
      <c r="B262">
        <v>1</v>
      </c>
      <c r="C262" s="2">
        <v>246</v>
      </c>
      <c r="D262">
        <v>0</v>
      </c>
      <c r="E262" s="2">
        <v>15</v>
      </c>
      <c r="F262">
        <v>0</v>
      </c>
      <c r="G262" s="2">
        <v>127000</v>
      </c>
      <c r="H262" s="1">
        <v>1.2</v>
      </c>
      <c r="I262" s="2">
        <v>137</v>
      </c>
      <c r="J262">
        <v>1</v>
      </c>
      <c r="K262">
        <v>0</v>
      </c>
      <c r="L262" s="2">
        <v>10</v>
      </c>
      <c r="M262">
        <v>1</v>
      </c>
      <c r="N262" t="str">
        <f>IF(Table1[[#This Row],[time]]&lt;60, "Critical", IF(Table1[[#This Row],[time]]&lt;120,"Under Obs","Normal"))</f>
        <v>Critical</v>
      </c>
    </row>
    <row r="263" spans="1:14" x14ac:dyDescent="0.3">
      <c r="A263" s="2">
        <v>75</v>
      </c>
      <c r="B263">
        <v>1</v>
      </c>
      <c r="C263" s="2">
        <v>81</v>
      </c>
      <c r="D263">
        <v>0</v>
      </c>
      <c r="E263" s="2">
        <v>38</v>
      </c>
      <c r="F263">
        <v>1</v>
      </c>
      <c r="G263" s="2">
        <v>368000</v>
      </c>
      <c r="H263" s="1">
        <v>4</v>
      </c>
      <c r="I263" s="2">
        <v>131</v>
      </c>
      <c r="J263">
        <v>1</v>
      </c>
      <c r="K263">
        <v>1</v>
      </c>
      <c r="L263" s="2">
        <v>10</v>
      </c>
      <c r="M263">
        <v>1</v>
      </c>
      <c r="N263" t="str">
        <f>IF(Table1[[#This Row],[time]]&lt;60, "Critical", IF(Table1[[#This Row],[time]]&lt;120,"Under Obs","Normal"))</f>
        <v>Critical</v>
      </c>
    </row>
    <row r="264" spans="1:14" x14ac:dyDescent="0.3">
      <c r="A264" s="2">
        <v>75</v>
      </c>
      <c r="B264">
        <v>0</v>
      </c>
      <c r="C264" s="2">
        <v>582</v>
      </c>
      <c r="D264">
        <v>1</v>
      </c>
      <c r="E264" s="2">
        <v>30</v>
      </c>
      <c r="F264">
        <v>1</v>
      </c>
      <c r="G264" s="2">
        <v>263358.03000000003</v>
      </c>
      <c r="H264" s="1">
        <v>1.83</v>
      </c>
      <c r="I264" s="2">
        <v>134</v>
      </c>
      <c r="J264">
        <v>0</v>
      </c>
      <c r="K264">
        <v>0</v>
      </c>
      <c r="L264" s="2">
        <v>23</v>
      </c>
      <c r="M264">
        <v>1</v>
      </c>
      <c r="N264" t="str">
        <f>IF(Table1[[#This Row],[time]]&lt;60, "Critical", IF(Table1[[#This Row],[time]]&lt;120,"Under Obs","Normal"))</f>
        <v>Critical</v>
      </c>
    </row>
    <row r="265" spans="1:14" x14ac:dyDescent="0.3">
      <c r="A265" s="2">
        <v>75</v>
      </c>
      <c r="B265">
        <v>1</v>
      </c>
      <c r="C265" s="2">
        <v>203</v>
      </c>
      <c r="D265">
        <v>1</v>
      </c>
      <c r="E265" s="2">
        <v>38</v>
      </c>
      <c r="F265">
        <v>1</v>
      </c>
      <c r="G265" s="2">
        <v>283000</v>
      </c>
      <c r="H265" s="1">
        <v>0.6</v>
      </c>
      <c r="I265" s="2">
        <v>131</v>
      </c>
      <c r="J265">
        <v>1</v>
      </c>
      <c r="K265">
        <v>1</v>
      </c>
      <c r="L265" s="2">
        <v>74</v>
      </c>
      <c r="M265">
        <v>0</v>
      </c>
      <c r="N265" t="str">
        <f>IF(Table1[[#This Row],[time]]&lt;60, "Critical", IF(Table1[[#This Row],[time]]&lt;120,"Under Obs","Normal"))</f>
        <v>Under Obs</v>
      </c>
    </row>
    <row r="266" spans="1:14" x14ac:dyDescent="0.3">
      <c r="A266" s="2">
        <v>75</v>
      </c>
      <c r="B266">
        <v>0</v>
      </c>
      <c r="C266" s="2">
        <v>582</v>
      </c>
      <c r="D266">
        <v>0</v>
      </c>
      <c r="E266" s="2">
        <v>45</v>
      </c>
      <c r="F266">
        <v>1</v>
      </c>
      <c r="G266" s="2">
        <v>263358.03000000003</v>
      </c>
      <c r="H266" s="1">
        <v>1.18</v>
      </c>
      <c r="I266" s="2">
        <v>137</v>
      </c>
      <c r="J266">
        <v>1</v>
      </c>
      <c r="K266">
        <v>0</v>
      </c>
      <c r="L266" s="2">
        <v>87</v>
      </c>
      <c r="M266">
        <v>0</v>
      </c>
      <c r="N266" t="str">
        <f>IF(Table1[[#This Row],[time]]&lt;60, "Critical", IF(Table1[[#This Row],[time]]&lt;120,"Under Obs","Normal"))</f>
        <v>Under Obs</v>
      </c>
    </row>
    <row r="267" spans="1:14" x14ac:dyDescent="0.3">
      <c r="A267" s="2">
        <v>75</v>
      </c>
      <c r="B267">
        <v>0</v>
      </c>
      <c r="C267" s="2">
        <v>582</v>
      </c>
      <c r="D267">
        <v>0</v>
      </c>
      <c r="E267" s="2">
        <v>40</v>
      </c>
      <c r="F267">
        <v>0</v>
      </c>
      <c r="G267" s="2">
        <v>263358.03000000003</v>
      </c>
      <c r="H267" s="1">
        <v>1.18</v>
      </c>
      <c r="I267" s="2">
        <v>137</v>
      </c>
      <c r="J267">
        <v>1</v>
      </c>
      <c r="K267">
        <v>0</v>
      </c>
      <c r="L267" s="2">
        <v>107</v>
      </c>
      <c r="M267">
        <v>0</v>
      </c>
      <c r="N267" t="str">
        <f>IF(Table1[[#This Row],[time]]&lt;60, "Critical", IF(Table1[[#This Row],[time]]&lt;120,"Under Obs","Normal"))</f>
        <v>Under Obs</v>
      </c>
    </row>
    <row r="268" spans="1:14" x14ac:dyDescent="0.3">
      <c r="A268" s="2">
        <v>75</v>
      </c>
      <c r="B268">
        <v>1</v>
      </c>
      <c r="C268" s="2">
        <v>582</v>
      </c>
      <c r="D268">
        <v>0</v>
      </c>
      <c r="E268" s="2">
        <v>30</v>
      </c>
      <c r="F268">
        <v>0</v>
      </c>
      <c r="G268" s="2">
        <v>225000</v>
      </c>
      <c r="H268" s="1">
        <v>1.83</v>
      </c>
      <c r="I268" s="2">
        <v>134</v>
      </c>
      <c r="J268">
        <v>1</v>
      </c>
      <c r="K268">
        <v>0</v>
      </c>
      <c r="L268" s="2">
        <v>113</v>
      </c>
      <c r="M268">
        <v>1</v>
      </c>
      <c r="N268" t="str">
        <f>IF(Table1[[#This Row],[time]]&lt;60, "Critical", IF(Table1[[#This Row],[time]]&lt;120,"Under Obs","Normal"))</f>
        <v>Under Obs</v>
      </c>
    </row>
    <row r="269" spans="1:14" x14ac:dyDescent="0.3">
      <c r="A269" s="2">
        <v>75</v>
      </c>
      <c r="B269">
        <v>0</v>
      </c>
      <c r="C269" s="2">
        <v>99</v>
      </c>
      <c r="D269">
        <v>0</v>
      </c>
      <c r="E269" s="2">
        <v>38</v>
      </c>
      <c r="F269">
        <v>1</v>
      </c>
      <c r="G269" s="2">
        <v>224000</v>
      </c>
      <c r="H269" s="1">
        <v>2.5</v>
      </c>
      <c r="I269" s="2">
        <v>134</v>
      </c>
      <c r="J269">
        <v>1</v>
      </c>
      <c r="K269">
        <v>0</v>
      </c>
      <c r="L269" s="2">
        <v>162</v>
      </c>
      <c r="M269">
        <v>1</v>
      </c>
      <c r="N269" t="str">
        <f>IF(Table1[[#This Row],[time]]&lt;60, "Critical", IF(Table1[[#This Row],[time]]&lt;120,"Under Obs","Normal"))</f>
        <v>Normal</v>
      </c>
    </row>
    <row r="270" spans="1:14" x14ac:dyDescent="0.3">
      <c r="A270" s="2">
        <v>75</v>
      </c>
      <c r="B270">
        <v>0</v>
      </c>
      <c r="C270" s="2">
        <v>675</v>
      </c>
      <c r="D270">
        <v>1</v>
      </c>
      <c r="E270" s="2">
        <v>60</v>
      </c>
      <c r="F270">
        <v>0</v>
      </c>
      <c r="G270" s="2">
        <v>265000</v>
      </c>
      <c r="H270" s="1">
        <v>1.4</v>
      </c>
      <c r="I270" s="2">
        <v>125</v>
      </c>
      <c r="J270">
        <v>0</v>
      </c>
      <c r="K270">
        <v>0</v>
      </c>
      <c r="L270" s="2">
        <v>205</v>
      </c>
      <c r="M270">
        <v>0</v>
      </c>
      <c r="N270" t="str">
        <f>IF(Table1[[#This Row],[time]]&lt;60, "Critical", IF(Table1[[#This Row],[time]]&lt;120,"Under Obs","Normal"))</f>
        <v>Normal</v>
      </c>
    </row>
    <row r="271" spans="1:14" x14ac:dyDescent="0.3">
      <c r="A271" s="2">
        <v>75</v>
      </c>
      <c r="B271">
        <v>0</v>
      </c>
      <c r="C271" s="2">
        <v>119</v>
      </c>
      <c r="D271">
        <v>0</v>
      </c>
      <c r="E271" s="2">
        <v>50</v>
      </c>
      <c r="F271">
        <v>1</v>
      </c>
      <c r="G271" s="2">
        <v>248000</v>
      </c>
      <c r="H271" s="1">
        <v>1.1000000000000001</v>
      </c>
      <c r="I271" s="2">
        <v>148</v>
      </c>
      <c r="J271">
        <v>1</v>
      </c>
      <c r="K271">
        <v>0</v>
      </c>
      <c r="L271" s="2">
        <v>209</v>
      </c>
      <c r="M271">
        <v>0</v>
      </c>
      <c r="N271" t="str">
        <f>IF(Table1[[#This Row],[time]]&lt;60, "Critical", IF(Table1[[#This Row],[time]]&lt;120,"Under Obs","Normal"))</f>
        <v>Normal</v>
      </c>
    </row>
    <row r="272" spans="1:14" x14ac:dyDescent="0.3">
      <c r="A272" s="2">
        <v>77</v>
      </c>
      <c r="B272">
        <v>1</v>
      </c>
      <c r="C272" s="2">
        <v>418</v>
      </c>
      <c r="D272">
        <v>0</v>
      </c>
      <c r="E272" s="2">
        <v>45</v>
      </c>
      <c r="F272">
        <v>0</v>
      </c>
      <c r="G272" s="2">
        <v>223000</v>
      </c>
      <c r="H272" s="1">
        <v>1.8</v>
      </c>
      <c r="I272" s="2">
        <v>145</v>
      </c>
      <c r="J272">
        <v>1</v>
      </c>
      <c r="K272">
        <v>0</v>
      </c>
      <c r="L272" s="2">
        <v>180</v>
      </c>
      <c r="M272">
        <v>1</v>
      </c>
      <c r="N272" t="str">
        <f>IF(Table1[[#This Row],[time]]&lt;60, "Critical", IF(Table1[[#This Row],[time]]&lt;120,"Under Obs","Normal"))</f>
        <v>Normal</v>
      </c>
    </row>
    <row r="273" spans="1:14" x14ac:dyDescent="0.3">
      <c r="A273" s="2">
        <v>77</v>
      </c>
      <c r="B273">
        <v>1</v>
      </c>
      <c r="C273" s="2">
        <v>109</v>
      </c>
      <c r="D273">
        <v>0</v>
      </c>
      <c r="E273" s="2">
        <v>50</v>
      </c>
      <c r="F273">
        <v>1</v>
      </c>
      <c r="G273" s="2">
        <v>406000</v>
      </c>
      <c r="H273" s="1">
        <v>1.1000000000000001</v>
      </c>
      <c r="I273" s="2">
        <v>137</v>
      </c>
      <c r="J273">
        <v>1</v>
      </c>
      <c r="K273">
        <v>0</v>
      </c>
      <c r="L273" s="2">
        <v>209</v>
      </c>
      <c r="M273">
        <v>0</v>
      </c>
      <c r="N273" t="str">
        <f>IF(Table1[[#This Row],[time]]&lt;60, "Critical", IF(Table1[[#This Row],[time]]&lt;120,"Under Obs","Normal"))</f>
        <v>Normal</v>
      </c>
    </row>
    <row r="274" spans="1:14" x14ac:dyDescent="0.3">
      <c r="A274" s="2">
        <v>78</v>
      </c>
      <c r="B274">
        <v>1</v>
      </c>
      <c r="C274" s="2">
        <v>64</v>
      </c>
      <c r="D274">
        <v>0</v>
      </c>
      <c r="E274" s="2">
        <v>40</v>
      </c>
      <c r="F274">
        <v>0</v>
      </c>
      <c r="G274" s="2">
        <v>277000</v>
      </c>
      <c r="H274" s="1">
        <v>0.7</v>
      </c>
      <c r="I274" s="2">
        <v>137</v>
      </c>
      <c r="J274">
        <v>1</v>
      </c>
      <c r="K274">
        <v>1</v>
      </c>
      <c r="L274" s="2">
        <v>187</v>
      </c>
      <c r="M274">
        <v>0</v>
      </c>
      <c r="N274" t="str">
        <f>IF(Table1[[#This Row],[time]]&lt;60, "Critical", IF(Table1[[#This Row],[time]]&lt;120,"Under Obs","Normal"))</f>
        <v>Normal</v>
      </c>
    </row>
    <row r="275" spans="1:14" x14ac:dyDescent="0.3">
      <c r="A275" s="2">
        <v>78</v>
      </c>
      <c r="B275">
        <v>0</v>
      </c>
      <c r="C275" s="2">
        <v>224</v>
      </c>
      <c r="D275">
        <v>0</v>
      </c>
      <c r="E275" s="2">
        <v>50</v>
      </c>
      <c r="F275">
        <v>0</v>
      </c>
      <c r="G275" s="2">
        <v>481000</v>
      </c>
      <c r="H275" s="1">
        <v>1.4</v>
      </c>
      <c r="I275" s="2">
        <v>138</v>
      </c>
      <c r="J275">
        <v>1</v>
      </c>
      <c r="K275">
        <v>1</v>
      </c>
      <c r="L275" s="2">
        <v>192</v>
      </c>
      <c r="M275">
        <v>0</v>
      </c>
      <c r="N275" t="str">
        <f>IF(Table1[[#This Row],[time]]&lt;60, "Critical", IF(Table1[[#This Row],[time]]&lt;120,"Under Obs","Normal"))</f>
        <v>Normal</v>
      </c>
    </row>
    <row r="276" spans="1:14" x14ac:dyDescent="0.3">
      <c r="A276" s="2">
        <v>79</v>
      </c>
      <c r="B276">
        <v>1</v>
      </c>
      <c r="C276" s="2">
        <v>55</v>
      </c>
      <c r="D276">
        <v>0</v>
      </c>
      <c r="E276" s="2">
        <v>50</v>
      </c>
      <c r="F276">
        <v>1</v>
      </c>
      <c r="G276" s="2">
        <v>172000</v>
      </c>
      <c r="H276" s="1">
        <v>1.8</v>
      </c>
      <c r="I276" s="2">
        <v>133</v>
      </c>
      <c r="J276">
        <v>1</v>
      </c>
      <c r="K276">
        <v>0</v>
      </c>
      <c r="L276" s="2">
        <v>78</v>
      </c>
      <c r="M276">
        <v>0</v>
      </c>
      <c r="N276" t="str">
        <f>IF(Table1[[#This Row],[time]]&lt;60, "Critical", IF(Table1[[#This Row],[time]]&lt;120,"Under Obs","Normal"))</f>
        <v>Under Obs</v>
      </c>
    </row>
    <row r="277" spans="1:14" x14ac:dyDescent="0.3">
      <c r="A277" s="2">
        <v>80</v>
      </c>
      <c r="B277">
        <v>1</v>
      </c>
      <c r="C277" s="2">
        <v>123</v>
      </c>
      <c r="D277">
        <v>0</v>
      </c>
      <c r="E277" s="2">
        <v>35</v>
      </c>
      <c r="F277">
        <v>1</v>
      </c>
      <c r="G277" s="2">
        <v>388000</v>
      </c>
      <c r="H277" s="1">
        <v>9.4</v>
      </c>
      <c r="I277" s="2">
        <v>133</v>
      </c>
      <c r="J277">
        <v>1</v>
      </c>
      <c r="K277">
        <v>1</v>
      </c>
      <c r="L277" s="2">
        <v>10</v>
      </c>
      <c r="M277">
        <v>1</v>
      </c>
      <c r="N277" t="str">
        <f>IF(Table1[[#This Row],[time]]&lt;60, "Critical", IF(Table1[[#This Row],[time]]&lt;120,"Under Obs","Normal"))</f>
        <v>Critical</v>
      </c>
    </row>
    <row r="278" spans="1:14" x14ac:dyDescent="0.3">
      <c r="A278" s="2">
        <v>80</v>
      </c>
      <c r="B278">
        <v>0</v>
      </c>
      <c r="C278" s="2">
        <v>148</v>
      </c>
      <c r="D278">
        <v>1</v>
      </c>
      <c r="E278" s="2">
        <v>38</v>
      </c>
      <c r="F278">
        <v>0</v>
      </c>
      <c r="G278" s="2">
        <v>149000</v>
      </c>
      <c r="H278" s="1">
        <v>1.9</v>
      </c>
      <c r="I278" s="2">
        <v>144</v>
      </c>
      <c r="J278">
        <v>1</v>
      </c>
      <c r="K278">
        <v>1</v>
      </c>
      <c r="L278" s="2">
        <v>23</v>
      </c>
      <c r="M278">
        <v>1</v>
      </c>
      <c r="N278" t="str">
        <f>IF(Table1[[#This Row],[time]]&lt;60, "Critical", IF(Table1[[#This Row],[time]]&lt;120,"Under Obs","Normal"))</f>
        <v>Critical</v>
      </c>
    </row>
    <row r="279" spans="1:14" x14ac:dyDescent="0.3">
      <c r="A279" s="2">
        <v>80</v>
      </c>
      <c r="B279">
        <v>1</v>
      </c>
      <c r="C279" s="2">
        <v>553</v>
      </c>
      <c r="D279">
        <v>0</v>
      </c>
      <c r="E279" s="2">
        <v>20</v>
      </c>
      <c r="F279">
        <v>1</v>
      </c>
      <c r="G279" s="2">
        <v>140000</v>
      </c>
      <c r="H279" s="1">
        <v>4.4000000000000004</v>
      </c>
      <c r="I279" s="2">
        <v>133</v>
      </c>
      <c r="J279">
        <v>1</v>
      </c>
      <c r="K279">
        <v>0</v>
      </c>
      <c r="L279" s="2">
        <v>41</v>
      </c>
      <c r="M279">
        <v>1</v>
      </c>
      <c r="N279" t="str">
        <f>IF(Table1[[#This Row],[time]]&lt;60, "Critical", IF(Table1[[#This Row],[time]]&lt;120,"Under Obs","Normal"))</f>
        <v>Critical</v>
      </c>
    </row>
    <row r="280" spans="1:14" x14ac:dyDescent="0.3">
      <c r="A280" s="2">
        <v>80</v>
      </c>
      <c r="B280">
        <v>0</v>
      </c>
      <c r="C280" s="2">
        <v>898</v>
      </c>
      <c r="D280">
        <v>0</v>
      </c>
      <c r="E280" s="2">
        <v>25</v>
      </c>
      <c r="F280">
        <v>0</v>
      </c>
      <c r="G280" s="2">
        <v>149000</v>
      </c>
      <c r="H280" s="1">
        <v>1.1000000000000001</v>
      </c>
      <c r="I280" s="2">
        <v>144</v>
      </c>
      <c r="J280">
        <v>1</v>
      </c>
      <c r="K280">
        <v>1</v>
      </c>
      <c r="L280" s="2">
        <v>87</v>
      </c>
      <c r="M280">
        <v>0</v>
      </c>
      <c r="N280" t="str">
        <f>IF(Table1[[#This Row],[time]]&lt;60, "Critical", IF(Table1[[#This Row],[time]]&lt;120,"Under Obs","Normal"))</f>
        <v>Under Obs</v>
      </c>
    </row>
    <row r="281" spans="1:14" x14ac:dyDescent="0.3">
      <c r="A281" s="2">
        <v>80</v>
      </c>
      <c r="B281">
        <v>0</v>
      </c>
      <c r="C281" s="2">
        <v>805</v>
      </c>
      <c r="D281">
        <v>0</v>
      </c>
      <c r="E281" s="2">
        <v>38</v>
      </c>
      <c r="F281">
        <v>0</v>
      </c>
      <c r="G281" s="2">
        <v>263358.03000000003</v>
      </c>
      <c r="H281" s="1">
        <v>1.1000000000000001</v>
      </c>
      <c r="I281" s="2">
        <v>134</v>
      </c>
      <c r="J281">
        <v>1</v>
      </c>
      <c r="K281">
        <v>0</v>
      </c>
      <c r="L281" s="2">
        <v>109</v>
      </c>
      <c r="M281">
        <v>1</v>
      </c>
      <c r="N281" t="str">
        <f>IF(Table1[[#This Row],[time]]&lt;60, "Critical", IF(Table1[[#This Row],[time]]&lt;120,"Under Obs","Normal"))</f>
        <v>Under Obs</v>
      </c>
    </row>
    <row r="282" spans="1:14" x14ac:dyDescent="0.3">
      <c r="A282" s="2">
        <v>80</v>
      </c>
      <c r="B282">
        <v>0</v>
      </c>
      <c r="C282" s="2">
        <v>776</v>
      </c>
      <c r="D282">
        <v>1</v>
      </c>
      <c r="E282" s="2">
        <v>38</v>
      </c>
      <c r="F282">
        <v>1</v>
      </c>
      <c r="G282" s="2">
        <v>192000</v>
      </c>
      <c r="H282" s="1">
        <v>1.3</v>
      </c>
      <c r="I282" s="2">
        <v>135</v>
      </c>
      <c r="J282">
        <v>0</v>
      </c>
      <c r="K282">
        <v>0</v>
      </c>
      <c r="L282" s="2">
        <v>130</v>
      </c>
      <c r="M282">
        <v>1</v>
      </c>
      <c r="N282" t="str">
        <f>IF(Table1[[#This Row],[time]]&lt;60, "Critical", IF(Table1[[#This Row],[time]]&lt;120,"Under Obs","Normal"))</f>
        <v>Normal</v>
      </c>
    </row>
    <row r="283" spans="1:14" x14ac:dyDescent="0.3">
      <c r="A283" s="2">
        <v>80</v>
      </c>
      <c r="B283">
        <v>0</v>
      </c>
      <c r="C283" s="2">
        <v>582</v>
      </c>
      <c r="D283">
        <v>1</v>
      </c>
      <c r="E283" s="2">
        <v>35</v>
      </c>
      <c r="F283">
        <v>0</v>
      </c>
      <c r="G283" s="2">
        <v>350000</v>
      </c>
      <c r="H283" s="1">
        <v>2.1</v>
      </c>
      <c r="I283" s="2">
        <v>134</v>
      </c>
      <c r="J283">
        <v>1</v>
      </c>
      <c r="K283">
        <v>0</v>
      </c>
      <c r="L283" s="2">
        <v>174</v>
      </c>
      <c r="M283">
        <v>0</v>
      </c>
      <c r="N283" t="str">
        <f>IF(Table1[[#This Row],[time]]&lt;60, "Critical", IF(Table1[[#This Row],[time]]&lt;120,"Under Obs","Normal"))</f>
        <v>Normal</v>
      </c>
    </row>
    <row r="284" spans="1:14" x14ac:dyDescent="0.3">
      <c r="A284" s="2">
        <v>81</v>
      </c>
      <c r="B284">
        <v>0</v>
      </c>
      <c r="C284" s="2">
        <v>4540</v>
      </c>
      <c r="D284">
        <v>0</v>
      </c>
      <c r="E284" s="2">
        <v>35</v>
      </c>
      <c r="F284">
        <v>0</v>
      </c>
      <c r="G284" s="2">
        <v>231000</v>
      </c>
      <c r="H284" s="1">
        <v>1.18</v>
      </c>
      <c r="I284" s="2">
        <v>137</v>
      </c>
      <c r="J284">
        <v>1</v>
      </c>
      <c r="K284">
        <v>1</v>
      </c>
      <c r="L284" s="2">
        <v>107</v>
      </c>
      <c r="M284">
        <v>0</v>
      </c>
      <c r="N284" t="str">
        <f>IF(Table1[[#This Row],[time]]&lt;60, "Critical", IF(Table1[[#This Row],[time]]&lt;120,"Under Obs","Normal"))</f>
        <v>Under Obs</v>
      </c>
    </row>
    <row r="285" spans="1:14" x14ac:dyDescent="0.3">
      <c r="A285" s="2">
        <v>82</v>
      </c>
      <c r="B285">
        <v>1</v>
      </c>
      <c r="C285" s="2">
        <v>379</v>
      </c>
      <c r="D285">
        <v>0</v>
      </c>
      <c r="E285" s="2">
        <v>50</v>
      </c>
      <c r="F285">
        <v>0</v>
      </c>
      <c r="G285" s="2">
        <v>47000</v>
      </c>
      <c r="H285" s="1">
        <v>1.3</v>
      </c>
      <c r="I285" s="2">
        <v>136</v>
      </c>
      <c r="J285">
        <v>1</v>
      </c>
      <c r="K285">
        <v>0</v>
      </c>
      <c r="L285" s="2">
        <v>13</v>
      </c>
      <c r="M285">
        <v>1</v>
      </c>
      <c r="N285" t="str">
        <f>IF(Table1[[#This Row],[time]]&lt;60, "Critical", IF(Table1[[#This Row],[time]]&lt;120,"Under Obs","Normal"))</f>
        <v>Critical</v>
      </c>
    </row>
    <row r="286" spans="1:14" x14ac:dyDescent="0.3">
      <c r="A286" s="2">
        <v>82</v>
      </c>
      <c r="B286">
        <v>0</v>
      </c>
      <c r="C286" s="2">
        <v>70</v>
      </c>
      <c r="D286">
        <v>1</v>
      </c>
      <c r="E286" s="2">
        <v>30</v>
      </c>
      <c r="F286">
        <v>0</v>
      </c>
      <c r="G286" s="2">
        <v>200000</v>
      </c>
      <c r="H286" s="1">
        <v>1.2</v>
      </c>
      <c r="I286" s="2">
        <v>132</v>
      </c>
      <c r="J286">
        <v>1</v>
      </c>
      <c r="K286">
        <v>1</v>
      </c>
      <c r="L286" s="2">
        <v>26</v>
      </c>
      <c r="M286">
        <v>1</v>
      </c>
      <c r="N286" t="str">
        <f>IF(Table1[[#This Row],[time]]&lt;60, "Critical", IF(Table1[[#This Row],[time]]&lt;120,"Under Obs","Normal"))</f>
        <v>Critical</v>
      </c>
    </row>
    <row r="287" spans="1:14" x14ac:dyDescent="0.3">
      <c r="A287" s="2">
        <v>82</v>
      </c>
      <c r="B287">
        <v>1</v>
      </c>
      <c r="C287" s="2">
        <v>855</v>
      </c>
      <c r="D287">
        <v>1</v>
      </c>
      <c r="E287" s="2">
        <v>50</v>
      </c>
      <c r="F287">
        <v>1</v>
      </c>
      <c r="G287" s="2">
        <v>321000</v>
      </c>
      <c r="H287" s="1">
        <v>1</v>
      </c>
      <c r="I287" s="2">
        <v>145</v>
      </c>
      <c r="J287">
        <v>0</v>
      </c>
      <c r="K287">
        <v>0</v>
      </c>
      <c r="L287" s="2">
        <v>30</v>
      </c>
      <c r="M287">
        <v>1</v>
      </c>
      <c r="N287" t="str">
        <f>IF(Table1[[#This Row],[time]]&lt;60, "Critical", IF(Table1[[#This Row],[time]]&lt;120,"Under Obs","Normal"))</f>
        <v>Critical</v>
      </c>
    </row>
    <row r="288" spans="1:14" x14ac:dyDescent="0.3">
      <c r="A288" s="2">
        <v>85</v>
      </c>
      <c r="B288">
        <v>0</v>
      </c>
      <c r="C288" s="2">
        <v>23</v>
      </c>
      <c r="D288">
        <v>0</v>
      </c>
      <c r="E288" s="2">
        <v>45</v>
      </c>
      <c r="F288">
        <v>0</v>
      </c>
      <c r="G288" s="2">
        <v>360000</v>
      </c>
      <c r="H288" s="1">
        <v>3</v>
      </c>
      <c r="I288" s="2">
        <v>132</v>
      </c>
      <c r="J288">
        <v>1</v>
      </c>
      <c r="K288">
        <v>0</v>
      </c>
      <c r="L288" s="2">
        <v>28</v>
      </c>
      <c r="M288">
        <v>1</v>
      </c>
      <c r="N288" t="str">
        <f>IF(Table1[[#This Row],[time]]&lt;60, "Critical", IF(Table1[[#This Row],[time]]&lt;120,"Under Obs","Normal"))</f>
        <v>Critical</v>
      </c>
    </row>
    <row r="289" spans="1:14" x14ac:dyDescent="0.3">
      <c r="A289" s="2">
        <v>85</v>
      </c>
      <c r="B289">
        <v>0</v>
      </c>
      <c r="C289" s="2">
        <v>5882</v>
      </c>
      <c r="D289">
        <v>0</v>
      </c>
      <c r="E289" s="2">
        <v>35</v>
      </c>
      <c r="F289">
        <v>0</v>
      </c>
      <c r="G289" s="2">
        <v>243000</v>
      </c>
      <c r="H289" s="1">
        <v>1</v>
      </c>
      <c r="I289" s="2">
        <v>132</v>
      </c>
      <c r="J289">
        <v>1</v>
      </c>
      <c r="K289">
        <v>1</v>
      </c>
      <c r="L289" s="2">
        <v>72</v>
      </c>
      <c r="M289">
        <v>1</v>
      </c>
      <c r="N289" t="str">
        <f>IF(Table1[[#This Row],[time]]&lt;60, "Critical", IF(Table1[[#This Row],[time]]&lt;120,"Under Obs","Normal"))</f>
        <v>Under Obs</v>
      </c>
    </row>
    <row r="290" spans="1:14" x14ac:dyDescent="0.3">
      <c r="A290" s="2">
        <v>85</v>
      </c>
      <c r="B290">
        <v>0</v>
      </c>
      <c r="C290" s="2">
        <v>129</v>
      </c>
      <c r="D290">
        <v>0</v>
      </c>
      <c r="E290" s="2">
        <v>60</v>
      </c>
      <c r="F290">
        <v>0</v>
      </c>
      <c r="G290" s="2">
        <v>306000</v>
      </c>
      <c r="H290" s="1">
        <v>1.2</v>
      </c>
      <c r="I290" s="2">
        <v>132</v>
      </c>
      <c r="J290">
        <v>1</v>
      </c>
      <c r="K290">
        <v>1</v>
      </c>
      <c r="L290" s="2">
        <v>90</v>
      </c>
      <c r="M290">
        <v>1</v>
      </c>
      <c r="N290" t="str">
        <f>IF(Table1[[#This Row],[time]]&lt;60, "Critical", IF(Table1[[#This Row],[time]]&lt;120,"Under Obs","Normal"))</f>
        <v>Under Obs</v>
      </c>
    </row>
    <row r="291" spans="1:14" x14ac:dyDescent="0.3">
      <c r="A291" s="2">
        <v>85</v>
      </c>
      <c r="B291">
        <v>1</v>
      </c>
      <c r="C291" s="2">
        <v>102</v>
      </c>
      <c r="D291">
        <v>0</v>
      </c>
      <c r="E291" s="2">
        <v>60</v>
      </c>
      <c r="F291">
        <v>0</v>
      </c>
      <c r="G291" s="2">
        <v>507000</v>
      </c>
      <c r="H291" s="1">
        <v>3.2</v>
      </c>
      <c r="I291" s="2">
        <v>138</v>
      </c>
      <c r="J291">
        <v>0</v>
      </c>
      <c r="K291">
        <v>0</v>
      </c>
      <c r="L291" s="2">
        <v>94</v>
      </c>
      <c r="M291">
        <v>0</v>
      </c>
      <c r="N291" t="str">
        <f>IF(Table1[[#This Row],[time]]&lt;60, "Critical", IF(Table1[[#This Row],[time]]&lt;120,"Under Obs","Normal"))</f>
        <v>Under Obs</v>
      </c>
    </row>
    <row r="292" spans="1:14" x14ac:dyDescent="0.3">
      <c r="A292" s="2">
        <v>85</v>
      </c>
      <c r="B292">
        <v>1</v>
      </c>
      <c r="C292" s="2">
        <v>910</v>
      </c>
      <c r="D292">
        <v>0</v>
      </c>
      <c r="E292" s="2">
        <v>50</v>
      </c>
      <c r="F292">
        <v>0</v>
      </c>
      <c r="G292" s="2">
        <v>235000</v>
      </c>
      <c r="H292" s="1">
        <v>1.3</v>
      </c>
      <c r="I292" s="2">
        <v>134</v>
      </c>
      <c r="J292">
        <v>1</v>
      </c>
      <c r="K292">
        <v>0</v>
      </c>
      <c r="L292" s="2">
        <v>121</v>
      </c>
      <c r="M292">
        <v>0</v>
      </c>
      <c r="N292" t="str">
        <f>IF(Table1[[#This Row],[time]]&lt;60, "Critical", IF(Table1[[#This Row],[time]]&lt;120,"Under Obs","Normal"))</f>
        <v>Normal</v>
      </c>
    </row>
    <row r="293" spans="1:14" x14ac:dyDescent="0.3">
      <c r="A293" s="2">
        <v>85</v>
      </c>
      <c r="B293">
        <v>0</v>
      </c>
      <c r="C293" s="2">
        <v>212</v>
      </c>
      <c r="D293">
        <v>0</v>
      </c>
      <c r="E293" s="2">
        <v>38</v>
      </c>
      <c r="F293">
        <v>0</v>
      </c>
      <c r="G293" s="2">
        <v>186000</v>
      </c>
      <c r="H293" s="1">
        <v>0.9</v>
      </c>
      <c r="I293" s="2">
        <v>136</v>
      </c>
      <c r="J293">
        <v>1</v>
      </c>
      <c r="K293">
        <v>0</v>
      </c>
      <c r="L293" s="2">
        <v>187</v>
      </c>
      <c r="M293">
        <v>0</v>
      </c>
      <c r="N293" t="str">
        <f>IF(Table1[[#This Row],[time]]&lt;60, "Critical", IF(Table1[[#This Row],[time]]&lt;120,"Under Obs","Normal"))</f>
        <v>Normal</v>
      </c>
    </row>
    <row r="294" spans="1:14" x14ac:dyDescent="0.3">
      <c r="A294" s="2">
        <v>86</v>
      </c>
      <c r="B294">
        <v>0</v>
      </c>
      <c r="C294" s="2">
        <v>582</v>
      </c>
      <c r="D294">
        <v>0</v>
      </c>
      <c r="E294" s="2">
        <v>38</v>
      </c>
      <c r="F294">
        <v>0</v>
      </c>
      <c r="G294" s="2">
        <v>263358.03000000003</v>
      </c>
      <c r="H294" s="1">
        <v>1.83</v>
      </c>
      <c r="I294" s="2">
        <v>134</v>
      </c>
      <c r="J294">
        <v>0</v>
      </c>
      <c r="K294">
        <v>0</v>
      </c>
      <c r="L294" s="2">
        <v>95</v>
      </c>
      <c r="M294">
        <v>1</v>
      </c>
      <c r="N294" t="str">
        <f>IF(Table1[[#This Row],[time]]&lt;60, "Critical", IF(Table1[[#This Row],[time]]&lt;120,"Under Obs","Normal"))</f>
        <v>Under Obs</v>
      </c>
    </row>
    <row r="295" spans="1:14" x14ac:dyDescent="0.3">
      <c r="A295" s="2">
        <v>87</v>
      </c>
      <c r="B295">
        <v>1</v>
      </c>
      <c r="C295" s="2">
        <v>149</v>
      </c>
      <c r="D295">
        <v>0</v>
      </c>
      <c r="E295" s="2">
        <v>38</v>
      </c>
      <c r="F295">
        <v>0</v>
      </c>
      <c r="G295" s="2">
        <v>262000</v>
      </c>
      <c r="H295" s="1">
        <v>0.9</v>
      </c>
      <c r="I295" s="2">
        <v>140</v>
      </c>
      <c r="J295">
        <v>1</v>
      </c>
      <c r="K295">
        <v>0</v>
      </c>
      <c r="L295" s="2">
        <v>14</v>
      </c>
      <c r="M295">
        <v>1</v>
      </c>
      <c r="N295" t="str">
        <f>IF(Table1[[#This Row],[time]]&lt;60, "Critical", IF(Table1[[#This Row],[time]]&lt;120,"Under Obs","Normal"))</f>
        <v>Critical</v>
      </c>
    </row>
    <row r="296" spans="1:14" x14ac:dyDescent="0.3">
      <c r="A296" s="2">
        <v>90</v>
      </c>
      <c r="B296">
        <v>1</v>
      </c>
      <c r="C296" s="2">
        <v>47</v>
      </c>
      <c r="D296">
        <v>0</v>
      </c>
      <c r="E296" s="2">
        <v>40</v>
      </c>
      <c r="F296">
        <v>1</v>
      </c>
      <c r="G296" s="2">
        <v>204000</v>
      </c>
      <c r="H296" s="1">
        <v>2.1</v>
      </c>
      <c r="I296" s="2">
        <v>132</v>
      </c>
      <c r="J296">
        <v>1</v>
      </c>
      <c r="K296">
        <v>1</v>
      </c>
      <c r="L296" s="2">
        <v>8</v>
      </c>
      <c r="M296">
        <v>1</v>
      </c>
      <c r="N296" t="str">
        <f>IF(Table1[[#This Row],[time]]&lt;60, "Critical", IF(Table1[[#This Row],[time]]&lt;120,"Under Obs","Normal"))</f>
        <v>Critical</v>
      </c>
    </row>
    <row r="297" spans="1:14" x14ac:dyDescent="0.3">
      <c r="A297" s="2">
        <v>90</v>
      </c>
      <c r="B297">
        <v>1</v>
      </c>
      <c r="C297" s="2">
        <v>60</v>
      </c>
      <c r="D297">
        <v>1</v>
      </c>
      <c r="E297" s="2">
        <v>50</v>
      </c>
      <c r="F297">
        <v>0</v>
      </c>
      <c r="G297" s="2">
        <v>226000</v>
      </c>
      <c r="H297" s="1">
        <v>1</v>
      </c>
      <c r="I297" s="2">
        <v>134</v>
      </c>
      <c r="J297">
        <v>1</v>
      </c>
      <c r="K297">
        <v>0</v>
      </c>
      <c r="L297" s="2">
        <v>30</v>
      </c>
      <c r="M297">
        <v>1</v>
      </c>
      <c r="N297" t="str">
        <f>IF(Table1[[#This Row],[time]]&lt;60, "Critical", IF(Table1[[#This Row],[time]]&lt;120,"Under Obs","Normal"))</f>
        <v>Critical</v>
      </c>
    </row>
    <row r="298" spans="1:14" x14ac:dyDescent="0.3">
      <c r="A298" s="2">
        <v>90</v>
      </c>
      <c r="B298">
        <v>1</v>
      </c>
      <c r="C298" s="2">
        <v>337</v>
      </c>
      <c r="D298">
        <v>0</v>
      </c>
      <c r="E298" s="2">
        <v>38</v>
      </c>
      <c r="F298">
        <v>0</v>
      </c>
      <c r="G298" s="2">
        <v>390000</v>
      </c>
      <c r="H298" s="1">
        <v>0.9</v>
      </c>
      <c r="I298" s="2">
        <v>144</v>
      </c>
      <c r="J298">
        <v>0</v>
      </c>
      <c r="K298">
        <v>0</v>
      </c>
      <c r="L298" s="2">
        <v>256</v>
      </c>
      <c r="M298">
        <v>0</v>
      </c>
      <c r="N298" t="str">
        <f>IF(Table1[[#This Row],[time]]&lt;60, "Critical", IF(Table1[[#This Row],[time]]&lt;120,"Under Obs","Normal"))</f>
        <v>Normal</v>
      </c>
    </row>
    <row r="299" spans="1:14" x14ac:dyDescent="0.3">
      <c r="A299" s="2">
        <v>94</v>
      </c>
      <c r="B299">
        <v>0</v>
      </c>
      <c r="C299" s="2">
        <v>582</v>
      </c>
      <c r="D299">
        <v>1</v>
      </c>
      <c r="E299" s="2">
        <v>38</v>
      </c>
      <c r="F299">
        <v>1</v>
      </c>
      <c r="G299" s="2">
        <v>263358.03000000003</v>
      </c>
      <c r="H299" s="1">
        <v>1.83</v>
      </c>
      <c r="I299" s="2">
        <v>134</v>
      </c>
      <c r="J299">
        <v>1</v>
      </c>
      <c r="K299">
        <v>0</v>
      </c>
      <c r="L299" s="2">
        <v>27</v>
      </c>
      <c r="M299">
        <v>1</v>
      </c>
      <c r="N299" t="str">
        <f>IF(Table1[[#This Row],[time]]&lt;60, "Critical", IF(Table1[[#This Row],[time]]&lt;120,"Under Obs","Normal"))</f>
        <v>Critical</v>
      </c>
    </row>
    <row r="300" spans="1:14" x14ac:dyDescent="0.3">
      <c r="A300" s="2">
        <v>95</v>
      </c>
      <c r="B300">
        <v>1</v>
      </c>
      <c r="C300" s="2">
        <v>112</v>
      </c>
      <c r="D300">
        <v>0</v>
      </c>
      <c r="E300" s="2">
        <v>40</v>
      </c>
      <c r="F300">
        <v>1</v>
      </c>
      <c r="G300" s="2">
        <v>196000</v>
      </c>
      <c r="H300" s="1">
        <v>1</v>
      </c>
      <c r="I300" s="2">
        <v>138</v>
      </c>
      <c r="J300">
        <v>0</v>
      </c>
      <c r="K300">
        <v>0</v>
      </c>
      <c r="L300" s="2">
        <v>24</v>
      </c>
      <c r="M300">
        <v>1</v>
      </c>
      <c r="N300" t="str">
        <f>IF(Table1[[#This Row],[time]]&lt;60, "Critical", IF(Table1[[#This Row],[time]]&lt;120,"Under Obs","Normal"))</f>
        <v>Critical</v>
      </c>
    </row>
    <row r="301" spans="1:14" x14ac:dyDescent="0.3">
      <c r="A301" s="2">
        <v>95</v>
      </c>
      <c r="B301">
        <v>1</v>
      </c>
      <c r="C301" s="2">
        <v>371</v>
      </c>
      <c r="D301">
        <v>0</v>
      </c>
      <c r="E301" s="2">
        <v>30</v>
      </c>
      <c r="F301">
        <v>0</v>
      </c>
      <c r="G301" s="2">
        <v>461000</v>
      </c>
      <c r="H301" s="1">
        <v>2</v>
      </c>
      <c r="I301" s="2">
        <v>132</v>
      </c>
      <c r="J301">
        <v>1</v>
      </c>
      <c r="K301">
        <v>0</v>
      </c>
      <c r="L301" s="2">
        <v>50</v>
      </c>
      <c r="M301">
        <v>1</v>
      </c>
      <c r="N301" t="str">
        <f>IF(Table1[[#This Row],[time]]&lt;60, "Critical", IF(Table1[[#This Row],[time]]&lt;120,"Under Obs","Normal"))</f>
        <v>Critical</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829F5-2530-4AA8-BEBF-5DD4FA125B47}">
  <sheetPr codeName="Sheet2"/>
  <dimension ref="B2:P34"/>
  <sheetViews>
    <sheetView showGridLines="0" workbookViewId="0">
      <selection activeCell="C3" sqref="C3:C7"/>
    </sheetView>
  </sheetViews>
  <sheetFormatPr defaultRowHeight="14.4" x14ac:dyDescent="0.3"/>
  <cols>
    <col min="3" max="3" width="10.6640625" bestFit="1" customWidth="1"/>
    <col min="4" max="4" width="6.21875" style="4" customWidth="1"/>
    <col min="5" max="5" width="8.21875" style="4" bestFit="1" customWidth="1"/>
    <col min="6" max="6" width="23.44140625" style="4" bestFit="1" customWidth="1"/>
    <col min="7" max="7" width="8.109375" style="4" bestFit="1" customWidth="1"/>
    <col min="8" max="8" width="15.44140625" style="4" bestFit="1" customWidth="1"/>
    <col min="9" max="9" width="18.88671875" style="4" bestFit="1" customWidth="1"/>
    <col min="10" max="10" width="8.109375" style="4" bestFit="1" customWidth="1"/>
    <col min="11" max="11" width="15.6640625" style="4" bestFit="1" customWidth="1"/>
    <col min="12" max="12" width="13.5546875" style="4" bestFit="1" customWidth="1"/>
    <col min="13" max="13" width="3.6640625" style="4" bestFit="1" customWidth="1"/>
    <col min="14" max="14" width="8.109375" style="4" bestFit="1" customWidth="1"/>
    <col min="15" max="15" width="4.77734375" style="4" bestFit="1" customWidth="1"/>
    <col min="16" max="16" width="13.33203125" style="4" bestFit="1" customWidth="1"/>
  </cols>
  <sheetData>
    <row r="2" spans="2:16" x14ac:dyDescent="0.3">
      <c r="D2" s="5" t="s">
        <v>0</v>
      </c>
      <c r="E2" s="6" t="s">
        <v>1</v>
      </c>
      <c r="F2" s="7" t="s">
        <v>2</v>
      </c>
      <c r="G2" s="6" t="s">
        <v>3</v>
      </c>
      <c r="H2" s="7" t="s">
        <v>4</v>
      </c>
      <c r="I2" s="6" t="s">
        <v>5</v>
      </c>
      <c r="J2" s="7" t="s">
        <v>6</v>
      </c>
      <c r="K2" s="8" t="s">
        <v>7</v>
      </c>
      <c r="L2" s="7" t="s">
        <v>8</v>
      </c>
      <c r="M2" s="6" t="s">
        <v>9</v>
      </c>
      <c r="N2" s="6" t="s">
        <v>10</v>
      </c>
      <c r="O2" s="7" t="s">
        <v>11</v>
      </c>
      <c r="P2" s="6" t="s">
        <v>12</v>
      </c>
    </row>
    <row r="3" spans="2:16" x14ac:dyDescent="0.3">
      <c r="B3" s="13" t="s">
        <v>19</v>
      </c>
      <c r="C3" s="12" t="s">
        <v>14</v>
      </c>
      <c r="D3" s="9">
        <f>MIN(Data!A2:A301)</f>
        <v>40</v>
      </c>
      <c r="E3" s="10"/>
      <c r="F3" s="9">
        <f>MIN(Data!C2:C301)</f>
        <v>23</v>
      </c>
      <c r="G3" s="10"/>
      <c r="H3" s="9">
        <f>MIN(Data!E2:E301)</f>
        <v>14</v>
      </c>
      <c r="I3" s="10"/>
      <c r="J3" s="9">
        <f>MIN(Data!G2:G301)</f>
        <v>25100</v>
      </c>
      <c r="K3" s="11">
        <f>MIN(Data!H2:H301)</f>
        <v>0.5</v>
      </c>
      <c r="L3" s="9">
        <f>MIN(Data!I2:I301)</f>
        <v>113</v>
      </c>
      <c r="M3" s="10"/>
      <c r="N3" s="9"/>
      <c r="O3" s="9">
        <f>MIN(Data!L2:L301)</f>
        <v>4</v>
      </c>
      <c r="P3" s="10"/>
    </row>
    <row r="4" spans="2:16" x14ac:dyDescent="0.3">
      <c r="B4" s="13"/>
      <c r="C4" s="12" t="s">
        <v>16</v>
      </c>
      <c r="D4" s="9">
        <f>_xlfn.PERCENTILE.INC(Data!A2:A301,0.25)</f>
        <v>51</v>
      </c>
      <c r="E4" s="10"/>
      <c r="F4" s="9">
        <f>_xlfn.PERCENTILE.INC(Data!C2:C301,0.25)</f>
        <v>117.25</v>
      </c>
      <c r="G4" s="10"/>
      <c r="H4" s="9">
        <f>_xlfn.PERCENTILE.INC(Data!E2:E301,0.25)</f>
        <v>30</v>
      </c>
      <c r="I4" s="10"/>
      <c r="J4" s="9">
        <f>_xlfn.PERCENTILE.INC(Data!G2:G301,0.25)</f>
        <v>212750</v>
      </c>
      <c r="K4" s="11">
        <f>_xlfn.PERCENTILE.INC(Data!H2:H301,0.25)</f>
        <v>0.9</v>
      </c>
      <c r="L4" s="9">
        <f>_xlfn.PERCENTILE.INC(Data!I2:I301,0.25)</f>
        <v>134</v>
      </c>
      <c r="M4" s="10"/>
      <c r="N4" s="9"/>
      <c r="O4" s="9">
        <f>_xlfn.PERCENTILE.INC(Data!L2:L301,0.25)</f>
        <v>73</v>
      </c>
      <c r="P4" s="10"/>
    </row>
    <row r="5" spans="2:16" x14ac:dyDescent="0.3">
      <c r="B5" s="13"/>
      <c r="C5" s="12" t="s">
        <v>18</v>
      </c>
      <c r="D5" s="9">
        <f>MEDIAN(Data!A2:A301)</f>
        <v>60</v>
      </c>
      <c r="E5" s="10"/>
      <c r="F5" s="9">
        <f>MEDIAN(Data!C2:C301)</f>
        <v>250</v>
      </c>
      <c r="G5" s="10"/>
      <c r="H5" s="9">
        <f>MEDIAN(Data!E2:E301)</f>
        <v>38</v>
      </c>
      <c r="I5" s="10"/>
      <c r="J5" s="9">
        <f>MEDIAN(Data!G2:G301)</f>
        <v>262500</v>
      </c>
      <c r="K5" s="11">
        <f>MEDIAN(Data!H2:H301)</f>
        <v>1.1000000000000001</v>
      </c>
      <c r="L5" s="9">
        <f>MEDIAN(Data!I2:I301)</f>
        <v>137</v>
      </c>
      <c r="M5" s="10"/>
      <c r="N5" s="9"/>
      <c r="O5" s="9">
        <f>MEDIAN(Data!L2:L301)</f>
        <v>115</v>
      </c>
      <c r="P5" s="10"/>
    </row>
    <row r="6" spans="2:16" x14ac:dyDescent="0.3">
      <c r="B6" s="13"/>
      <c r="C6" s="12" t="s">
        <v>17</v>
      </c>
      <c r="D6" s="9">
        <f>_xlfn.PERCENTILE.INC(Data!A2:A301,0.75)</f>
        <v>70</v>
      </c>
      <c r="E6" s="10"/>
      <c r="F6" s="9">
        <f>_xlfn.PERCENTILE.INC(Data!C2:C301,0.75)</f>
        <v>582</v>
      </c>
      <c r="G6" s="10"/>
      <c r="H6" s="9">
        <f>_xlfn.PERCENTILE.INC(Data!E2:E301,0.75)</f>
        <v>45</v>
      </c>
      <c r="I6" s="10"/>
      <c r="J6" s="9">
        <f>_xlfn.PERCENTILE.INC(Data!G2:G301,0.75)</f>
        <v>303250</v>
      </c>
      <c r="K6" s="11">
        <f>_xlfn.PERCENTILE.INC(Data!H2:H301,0.75)</f>
        <v>1.4</v>
      </c>
      <c r="L6" s="9">
        <f>_xlfn.PERCENTILE.INC(Data!I2:I301,0.75)</f>
        <v>140</v>
      </c>
      <c r="M6" s="10"/>
      <c r="N6" s="9"/>
      <c r="O6" s="9">
        <f>_xlfn.PERCENTILE.INC(Data!L2:L301,0.75)</f>
        <v>202</v>
      </c>
      <c r="P6" s="10"/>
    </row>
    <row r="7" spans="2:16" x14ac:dyDescent="0.3">
      <c r="B7" s="13"/>
      <c r="C7" s="12" t="s">
        <v>15</v>
      </c>
      <c r="D7" s="9">
        <f>MAX(Data!A2:A301)</f>
        <v>95</v>
      </c>
      <c r="E7" s="10"/>
      <c r="F7" s="9">
        <f>MAX(Data!C2:C301)</f>
        <v>7861</v>
      </c>
      <c r="G7" s="10"/>
      <c r="H7" s="9">
        <f>MAX(Data!E2:E301)</f>
        <v>80</v>
      </c>
      <c r="I7" s="10"/>
      <c r="J7" s="9">
        <f>MAX(Data!G2:G301)</f>
        <v>850000</v>
      </c>
      <c r="K7" s="11">
        <f>MAX(Data!H2:H301)</f>
        <v>9.4</v>
      </c>
      <c r="L7" s="9">
        <f>MAX(Data!I2:I301)</f>
        <v>148</v>
      </c>
      <c r="M7" s="10"/>
      <c r="N7" s="9"/>
      <c r="O7" s="9">
        <f>MAX(Data!L2:L301)</f>
        <v>285</v>
      </c>
      <c r="P7" s="10"/>
    </row>
    <row r="8" spans="2:16" x14ac:dyDescent="0.3">
      <c r="C8" s="12"/>
      <c r="D8" s="10"/>
      <c r="E8" s="10"/>
      <c r="F8" s="10"/>
      <c r="G8" s="10"/>
      <c r="H8" s="10"/>
      <c r="I8" s="10"/>
      <c r="J8" s="10"/>
      <c r="K8" s="11"/>
      <c r="L8" s="10"/>
      <c r="M8" s="10"/>
      <c r="N8" s="10"/>
      <c r="O8" s="10"/>
      <c r="P8" s="10"/>
    </row>
    <row r="9" spans="2:16" x14ac:dyDescent="0.3">
      <c r="C9" s="12" t="s">
        <v>20</v>
      </c>
      <c r="D9" s="9">
        <f>AVERAGE(Data!A2:A301)</f>
        <v>60.831113333333327</v>
      </c>
      <c r="E9" s="10"/>
      <c r="F9" s="9">
        <f>AVERAGE(Data!C2:C301)</f>
        <v>581.8366666666667</v>
      </c>
      <c r="G9" s="10"/>
      <c r="H9" s="9">
        <f>AVERAGE(Data!E2:E301)</f>
        <v>38.083333333333336</v>
      </c>
      <c r="I9" s="10"/>
      <c r="J9" s="9">
        <f>AVERAGE(Data!G2:G301)</f>
        <v>263358.02916666679</v>
      </c>
      <c r="K9" s="11">
        <f>AVERAGE(Data!H2:H301)</f>
        <v>1.3938999999999997</v>
      </c>
      <c r="L9" s="9">
        <f>AVERAGE(Data!I2:I301)</f>
        <v>136.62666666666667</v>
      </c>
      <c r="M9" s="10"/>
      <c r="N9" s="9"/>
      <c r="O9" s="9">
        <f>AVERAGE(Data!L2:L301)</f>
        <v>130.26</v>
      </c>
      <c r="P9" s="10"/>
    </row>
    <row r="10" spans="2:16" x14ac:dyDescent="0.3">
      <c r="C10" s="12" t="s">
        <v>21</v>
      </c>
      <c r="D10" s="9">
        <f>MODE(Data!A2:A301)</f>
        <v>60</v>
      </c>
      <c r="E10" s="9">
        <f>MODE(Data!B2:B301)</f>
        <v>0</v>
      </c>
      <c r="F10" s="9">
        <f>MODE(Data!C2:C301)</f>
        <v>582</v>
      </c>
      <c r="G10" s="9">
        <f>MODE(Data!D2:D301)</f>
        <v>0</v>
      </c>
      <c r="H10" s="9">
        <f>MODE(Data!E2:E301)</f>
        <v>35</v>
      </c>
      <c r="I10" s="9">
        <f>MODE(Data!F2:F301)</f>
        <v>0</v>
      </c>
      <c r="J10" s="9">
        <f>MODE(Data!G2:G301)</f>
        <v>263358.03000000003</v>
      </c>
      <c r="K10" s="9">
        <f>MODE(Data!H2:H301)</f>
        <v>1</v>
      </c>
      <c r="L10" s="9">
        <f>MODE(Data!I2:I301)</f>
        <v>136</v>
      </c>
      <c r="M10" s="9">
        <f>MODE(Data!J2:J301)</f>
        <v>1</v>
      </c>
      <c r="N10" s="9">
        <f>MODE(Data!K2:K301)</f>
        <v>0</v>
      </c>
      <c r="O10" s="9">
        <f>MODE(Data!L2:L301)</f>
        <v>187</v>
      </c>
      <c r="P10" s="9">
        <f>MODE(Data!M2:M301)</f>
        <v>0</v>
      </c>
    </row>
    <row r="33" spans="11:12" x14ac:dyDescent="0.3">
      <c r="K33" s="4" t="s">
        <v>22</v>
      </c>
      <c r="L33" s="4" t="s">
        <v>23</v>
      </c>
    </row>
    <row r="34" spans="11:12" x14ac:dyDescent="0.3">
      <c r="K34" s="4">
        <v>7861</v>
      </c>
      <c r="L34" s="14">
        <f>VLOOKUP(K34,Data!C:G,5,FALSE)</f>
        <v>263358.03000000003</v>
      </c>
    </row>
  </sheetData>
  <mergeCells count="1">
    <mergeCell ref="B3:B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F52C9-27B3-4038-B8C4-0F2282C7A7B4}">
  <sheetPr codeName="Sheet3"/>
  <dimension ref="C3:H6"/>
  <sheetViews>
    <sheetView showGridLines="0" tabSelected="1" workbookViewId="0">
      <selection activeCell="G4" sqref="G4"/>
    </sheetView>
  </sheetViews>
  <sheetFormatPr defaultRowHeight="14.4" x14ac:dyDescent="0.3"/>
  <cols>
    <col min="3" max="3" width="12.5546875" bestFit="1" customWidth="1"/>
    <col min="4" max="4" width="14.109375" bestFit="1" customWidth="1"/>
    <col min="5" max="5" width="13.6640625" bestFit="1" customWidth="1"/>
    <col min="6" max="6" width="25.21875" bestFit="1" customWidth="1"/>
    <col min="7" max="7" width="17.88671875" bestFit="1" customWidth="1"/>
    <col min="8" max="8" width="14.44140625" bestFit="1" customWidth="1"/>
  </cols>
  <sheetData>
    <row r="3" spans="3:8" x14ac:dyDescent="0.3">
      <c r="C3" s="15" t="s">
        <v>24</v>
      </c>
      <c r="D3" t="s">
        <v>30</v>
      </c>
      <c r="E3" t="s">
        <v>26</v>
      </c>
      <c r="F3" t="s">
        <v>27</v>
      </c>
      <c r="G3" t="s">
        <v>28</v>
      </c>
      <c r="H3" t="s">
        <v>29</v>
      </c>
    </row>
    <row r="4" spans="3:8" x14ac:dyDescent="0.3">
      <c r="C4" s="16">
        <v>0</v>
      </c>
      <c r="D4" s="2">
        <v>204</v>
      </c>
      <c r="E4" s="2">
        <v>58.767975490196086</v>
      </c>
      <c r="F4" s="2">
        <v>40.254901960784316</v>
      </c>
      <c r="G4" s="17">
        <v>266641.31593137258</v>
      </c>
      <c r="H4" s="2">
        <v>158.20098039215685</v>
      </c>
    </row>
    <row r="5" spans="3:8" x14ac:dyDescent="0.3">
      <c r="C5" s="16">
        <v>1</v>
      </c>
      <c r="D5" s="2">
        <v>96</v>
      </c>
      <c r="E5" s="2">
        <v>65.21528124999999</v>
      </c>
      <c r="F5" s="2">
        <v>33.46875</v>
      </c>
      <c r="G5" s="17">
        <v>256381.0447916667</v>
      </c>
      <c r="H5" s="2">
        <v>70.885416666666671</v>
      </c>
    </row>
    <row r="6" spans="3:8" x14ac:dyDescent="0.3">
      <c r="C6" s="16" t="s">
        <v>25</v>
      </c>
      <c r="D6" s="2">
        <v>300</v>
      </c>
      <c r="E6" s="2">
        <v>60.831113333333342</v>
      </c>
      <c r="F6" s="2">
        <v>38.083333333333336</v>
      </c>
      <c r="G6" s="17">
        <v>263358.02916666679</v>
      </c>
      <c r="H6" s="2">
        <v>130.26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rMySlicers">
                <anchor moveWithCells="1" sizeWithCells="1">
                  <from>
                    <xdr:col>10</xdr:col>
                    <xdr:colOff>167640</xdr:colOff>
                    <xdr:row>1</xdr:row>
                    <xdr:rowOff>83820</xdr:rowOff>
                  </from>
                  <to>
                    <xdr:col>12</xdr:col>
                    <xdr:colOff>510540</xdr:colOff>
                    <xdr:row>5</xdr:row>
                    <xdr:rowOff>22860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502E5-56A3-476E-96A2-2F81C2C3C1E3}">
  <sheetPr codeName="Sheet4"/>
  <dimension ref="B3:P22"/>
  <sheetViews>
    <sheetView showGridLines="0" workbookViewId="0">
      <selection activeCell="K16" sqref="K16"/>
    </sheetView>
  </sheetViews>
  <sheetFormatPr defaultRowHeight="14.4" x14ac:dyDescent="0.3"/>
  <sheetData>
    <row r="3" spans="2:16" ht="15" x14ac:dyDescent="0.3">
      <c r="B3" s="18"/>
      <c r="C3" s="19"/>
      <c r="D3" s="20"/>
    </row>
    <row r="4" spans="2:16" ht="15" x14ac:dyDescent="0.3">
      <c r="I4" s="18" t="s">
        <v>43</v>
      </c>
      <c r="J4" s="21" t="s">
        <v>44</v>
      </c>
      <c r="K4" s="22" t="s">
        <v>45</v>
      </c>
    </row>
    <row r="6" spans="2:16" ht="15" x14ac:dyDescent="0.3">
      <c r="B6">
        <v>1</v>
      </c>
      <c r="C6" t="s">
        <v>36</v>
      </c>
      <c r="N6" s="18">
        <v>1</v>
      </c>
      <c r="O6" s="21">
        <v>2</v>
      </c>
      <c r="P6" s="22">
        <v>3</v>
      </c>
    </row>
    <row r="7" spans="2:16" x14ac:dyDescent="0.3">
      <c r="B7">
        <v>2</v>
      </c>
      <c r="C7" t="s">
        <v>34</v>
      </c>
    </row>
    <row r="8" spans="2:16" x14ac:dyDescent="0.3">
      <c r="B8">
        <v>3</v>
      </c>
      <c r="C8" t="s">
        <v>35</v>
      </c>
    </row>
    <row r="9" spans="2:16" x14ac:dyDescent="0.3">
      <c r="B9">
        <v>4</v>
      </c>
      <c r="C9" t="s">
        <v>37</v>
      </c>
    </row>
    <row r="10" spans="2:16" x14ac:dyDescent="0.3">
      <c r="B10">
        <v>5</v>
      </c>
      <c r="C10" t="s">
        <v>38</v>
      </c>
    </row>
    <row r="11" spans="2:16" x14ac:dyDescent="0.3">
      <c r="B11">
        <v>6</v>
      </c>
      <c r="C11" t="s">
        <v>39</v>
      </c>
    </row>
    <row r="12" spans="2:16" x14ac:dyDescent="0.3">
      <c r="B12">
        <v>7</v>
      </c>
      <c r="C12" t="s">
        <v>40</v>
      </c>
    </row>
    <row r="13" spans="2:16" x14ac:dyDescent="0.3">
      <c r="B13">
        <v>8</v>
      </c>
      <c r="C13" t="s">
        <v>41</v>
      </c>
    </row>
    <row r="14" spans="2:16" x14ac:dyDescent="0.3">
      <c r="B14">
        <v>9</v>
      </c>
      <c r="C14" t="s">
        <v>42</v>
      </c>
      <c r="K14" t="s">
        <v>46</v>
      </c>
    </row>
    <row r="15" spans="2:16" x14ac:dyDescent="0.3">
      <c r="K15" t="s">
        <v>48</v>
      </c>
    </row>
    <row r="22" spans="2:5" ht="43.2" x14ac:dyDescent="0.3">
      <c r="B22" s="3" t="s">
        <v>32</v>
      </c>
      <c r="C22" s="3" t="s">
        <v>33</v>
      </c>
      <c r="D22" s="3" t="s">
        <v>31</v>
      </c>
      <c r="E22"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2A48F-3A08-4D85-97F6-2A3EC078F3C1}">
  <sheetPr codeName="Sheet5"/>
  <dimension ref="A1:C15"/>
  <sheetViews>
    <sheetView showGridLines="0" workbookViewId="0">
      <selection activeCell="J10" sqref="J10"/>
    </sheetView>
  </sheetViews>
  <sheetFormatPr defaultRowHeight="14.4" x14ac:dyDescent="0.3"/>
  <sheetData>
    <row r="1" spans="1:3" x14ac:dyDescent="0.3">
      <c r="A1" s="23" t="s">
        <v>47</v>
      </c>
      <c r="C1" t="s">
        <v>47</v>
      </c>
    </row>
    <row r="2" spans="1:3" x14ac:dyDescent="0.3">
      <c r="A2" s="23" t="s">
        <v>47</v>
      </c>
      <c r="C2" t="s">
        <v>47</v>
      </c>
    </row>
    <row r="3" spans="1:3" x14ac:dyDescent="0.3">
      <c r="A3" s="23" t="s">
        <v>47</v>
      </c>
      <c r="C3" t="s">
        <v>47</v>
      </c>
    </row>
    <row r="4" spans="1:3" x14ac:dyDescent="0.3">
      <c r="A4" s="23" t="s">
        <v>47</v>
      </c>
      <c r="C4" t="s">
        <v>47</v>
      </c>
    </row>
    <row r="5" spans="1:3" x14ac:dyDescent="0.3">
      <c r="A5" s="23" t="s">
        <v>47</v>
      </c>
      <c r="C5" t="s">
        <v>47</v>
      </c>
    </row>
    <row r="6" spans="1:3" x14ac:dyDescent="0.3">
      <c r="A6" s="23" t="s">
        <v>47</v>
      </c>
      <c r="C6" t="s">
        <v>47</v>
      </c>
    </row>
    <row r="7" spans="1:3" x14ac:dyDescent="0.3">
      <c r="A7" s="23" t="s">
        <v>47</v>
      </c>
      <c r="C7" t="s">
        <v>47</v>
      </c>
    </row>
    <row r="8" spans="1:3" x14ac:dyDescent="0.3">
      <c r="A8" s="23" t="s">
        <v>47</v>
      </c>
      <c r="C8" t="s">
        <v>47</v>
      </c>
    </row>
    <row r="9" spans="1:3" x14ac:dyDescent="0.3">
      <c r="A9" s="23" t="s">
        <v>47</v>
      </c>
      <c r="C9" t="s">
        <v>47</v>
      </c>
    </row>
    <row r="10" spans="1:3" x14ac:dyDescent="0.3">
      <c r="A10" s="23" t="s">
        <v>47</v>
      </c>
      <c r="C10" t="s">
        <v>47</v>
      </c>
    </row>
    <row r="11" spans="1:3" x14ac:dyDescent="0.3">
      <c r="A11" s="23" t="s">
        <v>47</v>
      </c>
      <c r="C11" t="s">
        <v>47</v>
      </c>
    </row>
    <row r="12" spans="1:3" x14ac:dyDescent="0.3">
      <c r="A12" s="23" t="s">
        <v>47</v>
      </c>
      <c r="C12" t="s">
        <v>47</v>
      </c>
    </row>
    <row r="13" spans="1:3" x14ac:dyDescent="0.3">
      <c r="A13" s="23" t="s">
        <v>47</v>
      </c>
      <c r="C13" t="s">
        <v>47</v>
      </c>
    </row>
    <row r="14" spans="1:3" x14ac:dyDescent="0.3">
      <c r="A14" s="23" t="s">
        <v>47</v>
      </c>
      <c r="C14" t="s">
        <v>47</v>
      </c>
    </row>
    <row r="15" spans="1:3" x14ac:dyDescent="0.3">
      <c r="A15" s="23" t="s">
        <v>47</v>
      </c>
      <c r="C15" t="s">
        <v>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Summary</vt:lpstr>
      <vt:lpstr>Pivot Tables</vt:lpstr>
      <vt:lpstr>Record Macro</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Kaur,Manaspreet (Gartner Research Board)</dc:creator>
  <cp:lastModifiedBy>Kaur,Manaspreet</cp:lastModifiedBy>
  <dcterms:created xsi:type="dcterms:W3CDTF">2015-06-05T18:17:20Z</dcterms:created>
  <dcterms:modified xsi:type="dcterms:W3CDTF">2021-05-29T09:30:08Z</dcterms:modified>
</cp:coreProperties>
</file>